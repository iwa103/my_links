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Volumes/PortableSSD/"/>
    </mc:Choice>
  </mc:AlternateContent>
  <xr:revisionPtr revIDLastSave="0" documentId="13_ncr:1_{658C0B83-E7D6-8D40-8ABE-2D60282FD955}" xr6:coauthVersionLast="47" xr6:coauthVersionMax="47" xr10:uidLastSave="{00000000-0000-0000-0000-000000000000}"/>
  <bookViews>
    <workbookView xWindow="0" yWindow="780" windowWidth="30480" windowHeight="18680" xr2:uid="{BC2B880A-67C0-4204-9261-2412B5E61A70}"/>
  </bookViews>
  <sheets>
    <sheet name="total" sheetId="1" r:id="rId1"/>
    <sheet name="Qwen35 para" sheetId="2" r:id="rId2"/>
    <sheet name="only qwen" sheetId="3" r:id="rId3"/>
  </sheets>
  <definedNames>
    <definedName name="_xlnm._FilterDatabase" localSheetId="2" hidden="1">'only qwen'!$A$1:$S$65</definedName>
    <definedName name="_xlnm._FilterDatabase" localSheetId="0" hidden="1">total!$A$1:$T$65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0" i="1" l="1"/>
  <c r="R79" i="1"/>
  <c r="R78" i="1"/>
  <c r="R77" i="1"/>
  <c r="R76" i="1"/>
  <c r="R71" i="1"/>
  <c r="R75" i="1"/>
  <c r="R74" i="1"/>
  <c r="R73" i="1"/>
  <c r="R72" i="1"/>
  <c r="R70" i="1"/>
  <c r="R69" i="1"/>
  <c r="R68" i="1"/>
  <c r="R67" i="1"/>
  <c r="R66" i="1"/>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R65" i="1"/>
  <c r="R64" i="1"/>
  <c r="R63" i="1"/>
  <c r="R60" i="1"/>
  <c r="R62" i="1"/>
  <c r="R61" i="1"/>
  <c r="R59" i="1"/>
  <c r="R58" i="1"/>
  <c r="R57" i="1"/>
  <c r="R56" i="1"/>
  <c r="R55" i="1"/>
  <c r="R54" i="1"/>
  <c r="R53" i="1"/>
  <c r="R52" i="1"/>
  <c r="R51" i="1"/>
  <c r="R49" i="1"/>
  <c r="R48" i="1"/>
  <c r="R47" i="1"/>
  <c r="R46" i="1"/>
  <c r="R50" i="1"/>
  <c r="R45" i="1"/>
  <c r="R44" i="1"/>
  <c r="R43" i="1"/>
  <c r="R42" i="1"/>
  <c r="R41" i="1" l="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tc={DF4DF4DB-4967-4405-98A8-1FBB786A654F}</author>
    <author>tc={FB345C65-5C37-45F9-A469-8CAB53FCD03F}</author>
    <author>tc={BBD739F6-B6D5-4ED2-A3B0-FD02A96A58CB}</author>
    <author>tc={16E1ADF1-BEE5-4E2E-BF83-709A01497308}</author>
    <author>tc={4F374640-D5DA-8E4B-ADB3-AB279393020D}</author>
    <author>tc={235DDBD8-CF4E-D14D-89B7-E79476861E25}</author>
    <author>tc={D03EE219-86F3-8648-B21C-D53DE772F6EB}</author>
    <author>tc={7BAFE44F-D808-0749-A71B-D5A3D49C6663}</author>
    <author>tc={74208E6B-CBFE-6044-849A-BBB8C5F99374}</author>
    <author>tc={646CE2CE-E750-9C47-9094-CFBA40849552}</author>
    <author>tc={18C04FAA-40E6-8B4D-B3A1-3B6592E57E78}</author>
    <author>tc={07F59CFC-6900-A548-8650-E21C1451475C}</author>
    <author>tc={9B7C4CC6-F1E8-4012-BCD5-6A52E6E99201}</author>
    <author>tc={4E775857-1E4A-45CB-807B-4241763AB936}</author>
    <author>tc={B68AD8DB-B2FD-4B86-8582-DAAF2E2742A9}</author>
    <author>tc={6F9FE24D-E98C-4C5A-B9C8-D2D0436BC119}</author>
    <author>tc={F8E95876-6AE2-314B-86AA-3D71EA04F945}</author>
    <author>tc={041A8CBF-134D-B14D-AA31-47776262787C}</author>
    <author>tc={63CC0BD2-0B47-F84A-9296-C9F2947CCDAB}</author>
    <author>tc={B180EBDB-D8C2-7E45-B8BF-B1090C12EABB}</author>
    <author>tc={2525D786-223A-C444-A202-5A09E2240E47}</author>
    <author>tc={95F8A7F0-6B87-8A47-9BC0-55D707E43537}</author>
    <author>tc={7512062D-8973-0B48-9FED-51C2C1DB61B3}</author>
    <author>tc={7EA9FE27-26A8-624E-883A-AB22B6E0F280}</author>
    <author>tc={D5F12CC7-1E6C-4243-906C-70C98DEEEC04}</author>
    <author>tc={90B45BF7-9582-4EA6-88CA-94E5029A2162}</author>
    <author>tc={906ACB1A-9155-DC41-9E04-C9ABAC9C7986}</author>
    <author>tc={B56BCA52-14A2-4549-B8FA-95A13153BE9D}</author>
    <author>tc={B843E2C2-503E-BD4D-9C54-D13192129055}</author>
    <author>tc={B2012910-F894-C04D-A9AF-8ABFC9ACC8A6}</author>
    <author>tc={555D37A2-24C6-9D45-83CF-E99738F4F330}</author>
    <author>tc={8A7B8D25-20EC-8D4E-AF2B-7E8AEBEE410C}</author>
    <author>tc={65188DE7-B8F4-BA4F-8D76-89D25AC2768D}</author>
    <author>tc={6ED93E27-A98D-8841-8786-37EE7E707BA5}</author>
    <author>tc={87E3FB73-21E0-6042-981A-6DE96CB840DE}</author>
    <author>tc={F21A5DEA-9C64-3E41-9DF7-A5CCC0F04B2C}</author>
    <author>tc={F32189D3-AEB7-754D-9228-DBAF5608101E}</author>
    <author>tc={C4938245-9739-9946-BD09-9ADB6BE9E6F9}</author>
    <author>tc={FE307E16-C36E-D046-9D81-15BD9431A2B5}</author>
    <author>tc={1F98F91C-8B7D-8742-8ECB-B83FA8293C32}</author>
    <author>tc={F71ABAE8-61D5-774C-B664-E710AA2BF45B}</author>
    <author>tc={1805F1D1-E86A-9B4E-914C-2EC1FF58961E}</author>
    <author>tc={3AB94B3C-38E3-4AB9-943D-92082BA28C7C}</author>
    <author>tc={5FCCE96D-2996-4023-A38B-4780EC832C69}</author>
    <author>tc={B16D9A8F-84E9-4F8F-A310-A05C9B630C71}</author>
    <author>tc={C8BD3819-6BC8-4CB7-8CA9-72C505A267D6}</author>
    <author>tc={63EFE9E4-5734-B34C-A71A-728109399D29}</author>
    <author>tc={300CAF9E-1CD5-5442-80F0-E10DB45E6E4D}</author>
    <author>tc={E6234749-0D6C-6F40-9583-A85F92E11CC5}</author>
    <author>tc={CA761035-5EA4-3C49-9F4C-AE8150B46603}</author>
    <author>tc={A8A250DF-21D7-934B-82EA-6C04653166EE}</author>
    <author>tc={5DFD685E-6448-564A-9DC5-C2E6FA8BFBEC}</author>
    <author>tc={58B2F834-8BFC-E84B-A88B-F7FA8A0D4C4B}</author>
    <author>tc={F016E661-0177-8045-944D-C3B5272695C1}</author>
    <author>tc={9713E47D-F612-8743-8F23-A345E02FF8BF}</author>
    <author>tc={AD7CCC7F-623A-A244-8B27-1B85DEF10A8A}</author>
    <author>tc={3BCC1E8A-ED01-2043-953C-D38681D950DA}</author>
    <author>tc={50C85152-F129-A645-9A2D-43AE89F1FDCA}</author>
    <author>tc={3E3902BC-0B8B-B64C-936D-BCFA89139B80}</author>
    <author>tc={07F7F939-DA9F-5641-96B8-6BF75F1E4B9D}</author>
    <author>tc={878323EA-F60F-E44B-99FB-4EDDC884C62B}</author>
    <author>tc={1E421765-078B-F34D-AC14-CC5D12A0FE82}</author>
    <author>tc={CE329187-1C62-BE47-9191-A1B39B12BEAB}</author>
    <author>tc={D2465899-4A6F-C54B-81F0-8EDDFE63E18C}</author>
    <author>tc={DB74B571-ACC3-0544-9616-F26464579878}</author>
    <author>tc={9C405668-D82A-824C-BAB4-D409EDFEEBCD}</author>
  </authors>
  <commentList>
    <comment ref="J38" authorId="0" shapeId="0" xr:uid="{DF4DF4DB-4967-4405-98A8-1FBB786A65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J39" authorId="1" shapeId="0" xr:uid="{FB345C65-5C37-45F9-A469-8CAB53FCD03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J40" authorId="2" shapeId="0" xr:uid="{BBD739F6-B6D5-4ED2-A3B0-FD02A96A58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K41" authorId="3" shapeId="0" xr:uid="{16E1ADF1-BEE5-4E2E-BF83-709A014973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K42" authorId="4" shapeId="0" xr:uid="{4F374640-D5DA-8E4B-ADB3-AB27939302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強引な最後の回答で減点４を無視して１２３で回答</t>
      </text>
    </comment>
    <comment ref="N42" authorId="5" shapeId="0" xr:uid="{235DDBD8-CF4E-D14D-89B7-E79476861E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西南と回答ただしカッコ内に南西を書いているので０．９５</t>
      </text>
    </comment>
    <comment ref="J43" authorId="6" shapeId="0" xr:uid="{D03EE219-86F3-8648-B21C-D53DE772F6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最後にマイナスの重量を見せている</t>
      </text>
    </comment>
    <comment ref="K43" authorId="7" shapeId="0" xr:uid="{7BAFE44F-D808-0749-A71B-D5A3D49C66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K44" authorId="8" shapeId="0" xr:uid="{74208E6B-CBFE-6044-849A-BBB8C5F9937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45" authorId="9" shapeId="0" xr:uid="{646CE2CE-E750-9C47-9094-CFBA408495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45" authorId="10" shapeId="0" xr:uid="{18C04FAA-40E6-8B4D-B3A1-3B6592E57E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矛盾指摘が少しわかりずらかった</t>
      </text>
    </comment>
    <comment ref="M45" authorId="11" shapeId="0" xr:uid="{07F59CFC-6900-A548-8650-E21C145147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ノンアルで割引可否が判断できていない</t>
      </text>
    </comment>
    <comment ref="J46" authorId="12" shapeId="0" xr:uid="{9B7C4CC6-F1E8-4012-BCD5-6A52E6E992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46" authorId="13" shapeId="0" xr:uid="{4E775857-1E4A-45CB-807B-4241763AB9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47" authorId="14" shapeId="0" xr:uid="{B68AD8DB-B2FD-4B86-8582-DAAF2E2742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47" authorId="15" shapeId="0" xr:uid="{6F9FE24D-E98C-4C5A-B9C8-D2D0436BC11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K48" authorId="16" shapeId="0" xr:uid="{F8E95876-6AE2-314B-86AA-3D71EA04F9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N48" authorId="17" shapeId="0" xr:uid="{041A8CBF-134D-B14D-AA31-4777626278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 ref="H49" authorId="18" shapeId="0" xr:uid="{63CC0BD2-0B47-F84A-9296-C9F2947CCDA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回答はあっているが時間はめちゃクヤ
</t>
      </text>
    </comment>
    <comment ref="J49" authorId="19" shapeId="0" xr:uid="{B180EBDB-D8C2-7E45-B8BF-B1090C12EA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矛盾は間接的に指摘</t>
      </text>
    </comment>
    <comment ref="N51" authorId="20" shapeId="0" xr:uid="{2525D786-223A-C444-A202-5A09E2240E4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 ref="K52" authorId="21" shapeId="0" xr:uid="{95F8A7F0-6B87-8A47-9BC0-55D707E435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矛盾指摘が少しわかりずらかった</t>
      </text>
    </comment>
    <comment ref="H54" authorId="22" shapeId="0" xr:uid="{7512062D-8973-0B48-9FED-51C2C1DB61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正解、不正解とあるため</t>
      </text>
    </comment>
    <comment ref="J54" authorId="23" shapeId="0" xr:uid="{7EA9FE27-26A8-624E-883A-AB22B6E0F2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矛盾は間接的に指摘</t>
      </text>
    </comment>
    <comment ref="K54" authorId="24" shapeId="0" xr:uid="{D5F12CC7-1E6C-4243-906C-70C98DEEEC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K55" authorId="25" shapeId="0" xr:uid="{90B45BF7-9582-4EA6-88CA-94E5029A21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J56" authorId="26" shapeId="0" xr:uid="{906ACB1A-9155-DC41-9E04-C9ABAC9C79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56" authorId="27" shapeId="0" xr:uid="{B56BCA52-14A2-4549-B8FA-95A13153BE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K57" authorId="28" shapeId="0" xr:uid="{B843E2C2-503E-BD4D-9C54-D131921290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K58" authorId="29" shapeId="0" xr:uid="{B2012910-F894-C04D-A9AF-8ABFC9ACC8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59" authorId="30" shapeId="0" xr:uid="{555D37A2-24C6-9D45-83CF-E99738F4F33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59" authorId="31" shapeId="0" xr:uid="{8A7B8D25-20EC-8D4E-AF2B-7E8AEBEE41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60" authorId="32" shapeId="0" xr:uid="{65188DE7-B8F4-BA4F-8D76-89D25AC2768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60" authorId="33" shapeId="0" xr:uid="{6ED93E27-A98D-8841-8786-37EE7E707B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61" authorId="34" shapeId="0" xr:uid="{87E3FB73-21E0-6042-981A-6DE96CB840D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N61" authorId="35" shapeId="0" xr:uid="{F21A5DEA-9C64-3E41-9DF7-A5CCC0F04B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西南でカッコで逆なので減点</t>
      </text>
    </comment>
    <comment ref="J62" authorId="36" shapeId="0" xr:uid="{F32189D3-AEB7-754D-9228-DBAF560810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63" authorId="37" shapeId="0" xr:uid="{C4938245-9739-9946-BD09-9ADB6BE9E6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64" authorId="38" shapeId="0" xr:uid="{FE307E16-C36E-D046-9D81-15BD9431A2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説明がちょっとくどい</t>
      </text>
    </comment>
    <comment ref="J65" authorId="39" shapeId="0" xr:uid="{1F98F91C-8B7D-8742-8ECB-B83FA8293C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65" authorId="40" shapeId="0" xr:uid="{F71ABAE8-61D5-774C-B664-E710AA2BF4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N65" authorId="41" shapeId="0" xr:uid="{1805F1D1-E86A-9B4E-914C-2EC1FF5896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 ref="J66" authorId="42" shapeId="0" xr:uid="{3AB94B3C-38E3-4AB9-943D-92082BA28C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66" authorId="43" shapeId="0" xr:uid="{5FCCE96D-2996-4023-A38B-4780EC832C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説明がちょっとくどい</t>
      </text>
    </comment>
    <comment ref="K68" authorId="44" shapeId="0" xr:uid="{B16D9A8F-84E9-4F8F-A310-A05C9B630C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説明がちょっとくどい</t>
      </text>
    </comment>
    <comment ref="M69" authorId="45" shapeId="0" xr:uid="{C8BD3819-6BC8-4CB7-8CA9-72C505A267D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補足コメントが誤解させるので減点</t>
      </text>
    </comment>
    <comment ref="H70" authorId="46" shapeId="0" xr:uid="{63EFE9E4-5734-B34C-A71A-728109399D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順番はあっているが時間が違う、回答も英文、正解・不正解混在</t>
      </text>
    </comment>
    <comment ref="L70" authorId="47" shapeId="0" xr:uid="{300CAF9E-1CD5-5442-80F0-E10DB45E6E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回答後に質問作成でループ発生</t>
      </text>
    </comment>
    <comment ref="M70" authorId="48" shapeId="0" xr:uid="{E6234749-0D6C-6F40-9583-A85F92E11C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回答後に質問作成でループ発生</t>
      </text>
    </comment>
    <comment ref="Q70" authorId="49" shapeId="0" xr:uid="{CA761035-5EA4-3C49-9F4C-AE8150B466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回答のあとに質問作成してそのループあり</t>
      </text>
    </comment>
    <comment ref="H72" authorId="50" shapeId="0" xr:uid="{A8A250DF-21D7-934B-82EA-6C04653166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Qの到着時刻がおかしい</t>
      </text>
    </comment>
    <comment ref="K72" authorId="51" shapeId="0" xr:uid="{5DFD685E-6448-564A-9DC5-C2E6FA8BFB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矛盾指摘しているが備考項目に書かれているので減点</t>
      </text>
    </comment>
    <comment ref="J73" authorId="52" shapeId="0" xr:uid="{58B2F834-8BFC-E84B-A88B-F7FA8A0D4C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73" authorId="53" shapeId="0" xr:uid="{F016E661-0177-8045-944D-C3B5272695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74" authorId="54" shapeId="0" xr:uid="{9713E47D-F612-8743-8F23-A345E02FF8B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矛盾指摘はしているがほとんど間違った回答が多い</t>
      </text>
    </comment>
    <comment ref="K74" authorId="55" shapeId="0" xr:uid="{AD7CCC7F-623A-A244-8B27-1B85DEF10A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矛盾指摘はしているが別の回答が前面にでているのでわ気がつかない可能性あり</t>
      </text>
    </comment>
    <comment ref="J75" authorId="56" shapeId="0" xr:uid="{3BCC1E8A-ED01-2043-953C-D38681D950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75" authorId="57" shapeId="0" xr:uid="{50C85152-F129-A645-9A2D-43AE89F1FD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76" authorId="58" shapeId="0" xr:uid="{3E3902BC-0B8B-B64C-936D-BCFA89139B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76" authorId="59" shapeId="0" xr:uid="{07F7F939-DA9F-5641-96B8-6BF75F1E4B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矛盾指摘しているが備考項目に書かれているので減点</t>
      </text>
    </comment>
    <comment ref="J79" authorId="60" shapeId="0" xr:uid="{878323EA-F60F-E44B-99FB-4EDDC884C62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79" authorId="61" shapeId="0" xr:uid="{1E421765-078B-F34D-AC14-CC5D12A0FE8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O79" authorId="62" shapeId="0" xr:uid="{CE329187-1C62-BE47-9191-A1B39B12BE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最初の回答が不正解</t>
      </text>
    </comment>
    <comment ref="J80" authorId="63" shapeId="0" xr:uid="{D2465899-4A6F-C54B-81F0-8EDDFE63E1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K80" authorId="64" shapeId="0" xr:uid="{DB74B571-ACC3-0544-9616-F264645798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M80" authorId="65" shapeId="0" xr:uid="{9C405668-D82A-824C-BAB4-D409EDFEEB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備考で両方を書いているので減点</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tc={23D94A30-018B-9C41-A5BE-D250FD539AAA}</author>
    <author>tc={AA398652-F8C7-AD43-BBBB-B24606590D29}</author>
    <author>tc={B4E0D6BD-D748-8145-B23D-B87227642F9C}</author>
    <author>tc={0141016C-E873-FC42-9A4F-E02A7FB2A314}</author>
    <author>tc={C9849B61-CB8C-4D4F-8D18-AC76BF2183A3}</author>
    <author>tc={3130619D-2C55-D149-9CE1-7956D03B0FBD}</author>
    <author>tc={932B336F-71A8-B24B-998C-892DDC24EA5F}</author>
    <author>tc={11523DEC-3D9E-194B-A28C-19E98DE7EEB4}</author>
    <author>tc={CB738E21-0307-134A-9FFF-04CAEC6FA79E}</author>
    <author>tc={79A56C1A-E5CF-584C-845D-DB305AD29AF7}</author>
    <author>tc={1BB84EC4-43BE-7C49-BC8A-87370BB7D609}</author>
    <author>tc={8F88C327-DB85-644D-A475-1928A28EE74F}</author>
    <author>tc={E849251D-D27E-D44D-B2B5-4902D552FED4}</author>
    <author>tc={3AAA0895-2520-5B4C-9A08-754BCF373DC3}</author>
    <author>tc={BEC3CA10-7493-B346-8576-DC8A056D3DFE}</author>
    <author>tc={104CDCE1-CB9A-8D46-875A-7026A7E0015D}</author>
    <author>tc={25243613-EF6D-9940-B9B2-D9B1458B9ADC}</author>
    <author>tc={8D725C7A-4E8A-AA47-9C1D-7155306574D4}</author>
    <author>tc={01629C3B-A691-6D44-8377-3E3F645309F6}</author>
    <author>tc={3CD3A6D5-DF9E-EF4D-A37A-65070F8F850C}</author>
    <author>tc={84941F85-F6E3-4943-9852-E381F46C4A45}</author>
    <author>tc={A64BB5C1-2E2C-994C-BE2A-262984AD2148}</author>
    <author>tc={FFC05816-8F11-7F45-893E-8FD2CE2D75C0}</author>
    <author>tc={E95F88D8-3C92-0B48-9508-41C30E5ACBEA}</author>
    <author>tc={B51CA893-3618-F640-823F-64219681787C}</author>
    <author>tc={304D96D2-5295-964A-B959-6D320319B81C}</author>
    <author>tc={0DCD620B-9C79-8D4E-A505-444170774611}</author>
    <author>tc={E955D8FF-8DBC-344C-B2D0-2A5506C35F38}</author>
    <author>tc={77C78F07-814A-9849-BA41-552A5BB152D5}</author>
    <author>tc={4B1F8FFE-812E-6445-82C9-49EBC6778341}</author>
    <author>tc={AF2A99F4-383C-3A42-964B-6603D5C5FD46}</author>
    <author>tc={14CF170E-FFF1-9C45-88E1-50AECEBC141C}</author>
    <author>tc={9C9209E9-DD36-D048-A7F8-765A1DDB80CF}</author>
    <author>tc={6A587F05-4420-564F-AF47-7C56741CA698}</author>
    <author>tc={174D4E00-809C-D343-BBBB-789A0D1705C6}</author>
    <author>tc={564209B8-4B4C-EC44-8C82-C966278BAE01}</author>
    <author>tc={391DCF1A-4D8E-AC46-ABB0-1685F0DB0FCC}</author>
    <author>tc={33F1E898-4E61-BC47-A3C5-6157B14E3357}</author>
    <author>tc={21B8A51D-5D64-4C45-99CD-FB36C81A0BBE}</author>
    <author>tc={B34A7D70-811E-8747-8A21-6C9DA2923F7C}</author>
    <author>tc={1A2E6EE0-A0A5-3947-98D4-2A2D6194200B}</author>
    <author>tc={1F529234-6148-9A49-9BC5-0649D5053E09}</author>
  </authors>
  <commentList>
    <comment ref="I8" authorId="0" shapeId="0" xr:uid="{23D94A30-018B-9C41-A5BE-D250FD539AA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9" authorId="1" shapeId="0" xr:uid="{AA398652-F8C7-AD43-BBBB-B24606590D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10" authorId="2" shapeId="0" xr:uid="{B4E0D6BD-D748-8145-B23D-B87227642F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I12" authorId="3" shapeId="0" xr:uid="{0141016C-E873-FC42-9A4F-E02A7FB2A3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12" authorId="4" shapeId="0" xr:uid="{C9849B61-CB8C-4D4F-8D18-AC76BF2183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I13" authorId="5" shapeId="0" xr:uid="{3130619D-2C55-D149-9CE1-7956D03B0F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13" authorId="6" shapeId="0" xr:uid="{932B336F-71A8-B24B-998C-892DDC24EA5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19" authorId="7" shapeId="0" xr:uid="{11523DEC-3D9E-194B-A28C-19E98DE7EE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説明がちょっとくどい</t>
      </text>
    </comment>
    <comment ref="I38" authorId="8" shapeId="0" xr:uid="{CB738E21-0307-134A-9FFF-04CAEC6FA7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I39" authorId="9" shapeId="0" xr:uid="{79A56C1A-E5CF-584C-845D-DB305AD29A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I40" authorId="10" shapeId="0" xr:uid="{1BB84EC4-43BE-7C49-BC8A-87370BB7D6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J41" authorId="11" shapeId="0" xr:uid="{8F88C327-DB85-644D-A475-1928A28EE7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矛盾指摘のあとに強引に回答する部分があるので減点</t>
      </text>
    </comment>
    <comment ref="J42" authorId="12" shapeId="0" xr:uid="{E849251D-D27E-D44D-B2B5-4902D552FE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強引な最後の回答で減点４を無視して１２３で回答</t>
      </text>
    </comment>
    <comment ref="M42" authorId="13" shapeId="0" xr:uid="{3AAA0895-2520-5B4C-9A08-754BCF373D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西南と回答ただしカッコ内に南西を書いているので０．９５</t>
      </text>
    </comment>
    <comment ref="I43" authorId="14" shapeId="0" xr:uid="{BEC3CA10-7493-B346-8576-DC8A056D3D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最後にマイナスの重量を見せている</t>
      </text>
    </comment>
    <comment ref="J43" authorId="15" shapeId="0" xr:uid="{104CDCE1-CB9A-8D46-875A-7026A7E001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44" authorId="16" shapeId="0" xr:uid="{25243613-EF6D-9940-B9B2-D9B1458B9A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I45" authorId="17" shapeId="0" xr:uid="{8D725C7A-4E8A-AA47-9C1D-7155306574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45" authorId="18" shapeId="0" xr:uid="{01629C3B-A691-6D44-8377-3E3F645309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矛盾指摘が少しわかりずらかった</t>
      </text>
    </comment>
    <comment ref="L45" authorId="19" shapeId="0" xr:uid="{3CD3A6D5-DF9E-EF4D-A37A-65070F8F85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ノンアルで割引可否が判断できていない</t>
      </text>
    </comment>
    <comment ref="I46" authorId="20" shapeId="0" xr:uid="{84941F85-F6E3-4943-9852-E381F46C4A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46" authorId="21" shapeId="0" xr:uid="{A64BB5C1-2E2C-994C-BE2A-262984AD21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I47" authorId="22" shapeId="0" xr:uid="{FFC05816-8F11-7F45-893E-8FD2CE2D75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47" authorId="23" shapeId="0" xr:uid="{E95F88D8-3C92-0B48-9508-41C30E5ACB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J48" authorId="24" shapeId="0" xr:uid="{B51CA893-3618-F640-823F-6421968178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M48" authorId="25" shapeId="0" xr:uid="{304D96D2-5295-964A-B959-6D320319B8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 ref="G49" authorId="26" shapeId="0" xr:uid="{0DCD620B-9C79-8D4E-A505-44417077461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回答はあっているが時間はめちゃクヤ
</t>
      </text>
    </comment>
    <comment ref="I49" authorId="27" shapeId="0" xr:uid="{E955D8FF-8DBC-344C-B2D0-2A5506C35F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矛盾は間接的に指摘</t>
      </text>
    </comment>
    <comment ref="M51" authorId="28" shapeId="0" xr:uid="{77C78F07-814A-9849-BA41-552A5BB152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 ref="J52" authorId="29" shapeId="0" xr:uid="{4B1F8FFE-812E-6445-82C9-49EBC67783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矛盾指摘が少しわかりずらかった</t>
      </text>
    </comment>
    <comment ref="G54" authorId="30" shapeId="0" xr:uid="{AF2A99F4-383C-3A42-964B-6603D5C5FD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正解、不正解とあるため</t>
      </text>
    </comment>
    <comment ref="I54" authorId="31" shapeId="0" xr:uid="{14CF170E-FFF1-9C45-88E1-50AECEBC14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矛盾は間接的に指摘</t>
      </text>
    </comment>
    <comment ref="J54" authorId="32" shapeId="0" xr:uid="{9C9209E9-DD36-D048-A7F8-765A1DDB80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J55" authorId="33" shapeId="0" xr:uid="{6A587F05-4420-564F-AF47-7C56741CA6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I56" authorId="34" shapeId="0" xr:uid="{174D4E00-809C-D343-BBBB-789A0D1705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56" authorId="35" shapeId="0" xr:uid="{564209B8-4B4C-EC44-8C82-C966278BAE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矛盾指摘らしきはでているがだめ</t>
      </text>
    </comment>
    <comment ref="I57" authorId="36" shapeId="0" xr:uid="{391DCF1A-4D8E-AC46-ABB0-1685F0DB0F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I62" authorId="37" shapeId="0" xr:uid="{33F1E898-4E61-BC47-A3C5-6157B14E33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M62" authorId="38" shapeId="0" xr:uid="{21B8A51D-5D64-4C45-99CD-FB36C81A0B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西南でカッコで逆なので減点</t>
      </text>
    </comment>
    <comment ref="I65" authorId="39" shapeId="0" xr:uid="{B34A7D70-811E-8747-8A21-6C9DA2923F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最後に余計な説明あり</t>
      </text>
    </comment>
    <comment ref="J65" authorId="40" shapeId="0" xr:uid="{1A2E6EE0-A0A5-3947-98D4-2A2D619420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矛盾指摘はできているがその後の説明が強引</t>
      </text>
    </comment>
    <comment ref="M65" authorId="41" shapeId="0" xr:uid="{1F529234-6148-9A49-9BC5-0649D5053E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西南で逆なので</t>
      </text>
    </comment>
  </commentList>
</comments>
</file>

<file path=xl/sharedStrings.xml><?xml version="1.0" encoding="utf-8"?>
<sst xmlns="http://schemas.openxmlformats.org/spreadsheetml/2006/main" count="920" uniqueCount="139">
  <si>
    <t>mode</t>
  </si>
  <si>
    <t>Q1</t>
  </si>
  <si>
    <t>Q2</t>
  </si>
  <si>
    <t>Q3</t>
  </si>
  <si>
    <t>Q4</t>
  </si>
  <si>
    <t>Q5</t>
  </si>
  <si>
    <t>Q6</t>
  </si>
  <si>
    <t>Q7</t>
  </si>
  <si>
    <t>Q8</t>
  </si>
  <si>
    <t>Q9</t>
  </si>
  <si>
    <t>Q10</t>
  </si>
  <si>
    <t>total</t>
  </si>
  <si>
    <t>GPU</t>
  </si>
  <si>
    <t>no_think</t>
  </si>
  <si>
    <t>think</t>
  </si>
  <si>
    <t>low</t>
  </si>
  <si>
    <t>medium</t>
  </si>
  <si>
    <t>high</t>
  </si>
  <si>
    <t>qwen3-vl-2b-instruct</t>
  </si>
  <si>
    <t>qwen3-vl-4b-instruct</t>
  </si>
  <si>
    <t>qwen3-vl-8b-instruct</t>
  </si>
  <si>
    <t>GPT5.2(20260103)</t>
  </si>
  <si>
    <t>NA</t>
  </si>
  <si>
    <t>auto</t>
  </si>
  <si>
    <t>Qwen3 MAX(20260103)</t>
  </si>
  <si>
    <t>none</t>
  </si>
  <si>
    <t>Qwen3 next 80B-A3B(20260103)</t>
  </si>
  <si>
    <t>Qwen3 235B-A22B 2507(20260103)</t>
  </si>
  <si>
    <t>Qwen3 VL 235B-A22B(20260103)</t>
  </si>
  <si>
    <t>Claud opus 4.6 think</t>
    <phoneticPr fontId="2"/>
  </si>
  <si>
    <t>NA</t>
    <phoneticPr fontId="2"/>
  </si>
  <si>
    <t>think</t>
    <phoneticPr fontId="2"/>
  </si>
  <si>
    <t>Qwen3.5 397B-A17B</t>
    <phoneticPr fontId="2"/>
  </si>
  <si>
    <t>auto</t>
    <phoneticPr fontId="2"/>
  </si>
  <si>
    <t>GPT-OSS-120B</t>
    <phoneticPr fontId="2"/>
  </si>
  <si>
    <t>Claude sonet 4.6</t>
    <phoneticPr fontId="2"/>
  </si>
  <si>
    <t>Gemini 3 pro</t>
    <phoneticPr fontId="2"/>
  </si>
  <si>
    <t>Gemini 3.1 pro previw</t>
    <phoneticPr fontId="2"/>
  </si>
  <si>
    <t>#ID</t>
    <phoneticPr fontId="2"/>
  </si>
  <si>
    <t>run local</t>
    <phoneticPr fontId="2"/>
  </si>
  <si>
    <t>ChatGPT</t>
    <phoneticPr fontId="2"/>
  </si>
  <si>
    <t>Qwen Chat</t>
    <phoneticPr fontId="2"/>
  </si>
  <si>
    <t>LLM Arena</t>
    <phoneticPr fontId="2"/>
  </si>
  <si>
    <t>p size</t>
    <phoneticPr fontId="2"/>
  </si>
  <si>
    <t>model</t>
    <phoneticPr fontId="2"/>
  </si>
  <si>
    <t>qwen3-1.7B</t>
    <phoneticPr fontId="2"/>
  </si>
  <si>
    <t>qwen3-4B</t>
    <phoneticPr fontId="2"/>
  </si>
  <si>
    <t>qwen3-8B</t>
    <phoneticPr fontId="2"/>
  </si>
  <si>
    <t>qwen3-14B</t>
    <phoneticPr fontId="2"/>
  </si>
  <si>
    <t>qwen3-30B-A3B</t>
    <phoneticPr fontId="2"/>
  </si>
  <si>
    <t>qwen3-32B</t>
    <phoneticPr fontId="2"/>
  </si>
  <si>
    <t>GPT-OSS-20B L</t>
    <phoneticPr fontId="2"/>
  </si>
  <si>
    <t>GPT-OSS-20B  M</t>
    <phoneticPr fontId="2"/>
  </si>
  <si>
    <t>GPT-OSS-20B  H</t>
    <phoneticPr fontId="2"/>
  </si>
  <si>
    <t>qwen3-4B-inst-2507</t>
    <phoneticPr fontId="2"/>
  </si>
  <si>
    <t>qwen3-4B-think-2507</t>
    <phoneticPr fontId="2"/>
  </si>
  <si>
    <t>qwen3-30B-A3B-inst-2507</t>
    <phoneticPr fontId="2"/>
  </si>
  <si>
    <t>qwen3-30B-A3B-think-2507</t>
    <phoneticPr fontId="2"/>
  </si>
  <si>
    <t>Qwen3.5 27B</t>
    <phoneticPr fontId="2"/>
  </si>
  <si>
    <t>Qwen3.5 30B-A3B</t>
    <phoneticPr fontId="2"/>
  </si>
  <si>
    <t>Qwen3.5 122B-A10B</t>
    <phoneticPr fontId="2"/>
  </si>
  <si>
    <t>comp</t>
    <phoneticPr fontId="2"/>
  </si>
  <si>
    <t>model name</t>
    <phoneticPr fontId="2"/>
  </si>
  <si>
    <t>Qwen</t>
    <phoneticPr fontId="2"/>
  </si>
  <si>
    <t>OpenAI</t>
    <phoneticPr fontId="2"/>
  </si>
  <si>
    <t>Google</t>
    <phoneticPr fontId="2"/>
  </si>
  <si>
    <t>Gemini 3</t>
    <phoneticPr fontId="2"/>
  </si>
  <si>
    <t>Gemini 3.1</t>
    <phoneticPr fontId="2"/>
  </si>
  <si>
    <t>Qwen3.5</t>
    <phoneticPr fontId="2"/>
  </si>
  <si>
    <t>GPT-OSS</t>
    <phoneticPr fontId="2"/>
  </si>
  <si>
    <t>Qwen3</t>
    <phoneticPr fontId="2"/>
  </si>
  <si>
    <t>Qwen3 VL</t>
    <phoneticPr fontId="2"/>
  </si>
  <si>
    <t>Qwen3 Next</t>
    <phoneticPr fontId="2"/>
  </si>
  <si>
    <t>Claud opus 4.6</t>
    <phoneticPr fontId="2"/>
  </si>
  <si>
    <t>Claud sonet 4.6</t>
    <phoneticPr fontId="2"/>
  </si>
  <si>
    <t>Anthropic</t>
    <phoneticPr fontId="2"/>
  </si>
  <si>
    <t>MiniMax</t>
    <phoneticPr fontId="2"/>
  </si>
  <si>
    <t>MiniMax M2.5</t>
    <phoneticPr fontId="2"/>
  </si>
  <si>
    <t>fast</t>
    <phoneticPr fontId="2"/>
  </si>
  <si>
    <t>NVIDIA</t>
    <phoneticPr fontId="2"/>
  </si>
  <si>
    <t>nemotron 3</t>
    <phoneticPr fontId="2"/>
  </si>
  <si>
    <t>super</t>
    <phoneticPr fontId="2"/>
  </si>
  <si>
    <t>GLM-5</t>
    <phoneticPr fontId="2"/>
  </si>
  <si>
    <t>kimi2.5</t>
    <phoneticPr fontId="2"/>
  </si>
  <si>
    <t>MoonshotAI</t>
    <phoneticPr fontId="2"/>
  </si>
  <si>
    <t>Z.AI</t>
    <phoneticPr fontId="2"/>
  </si>
  <si>
    <t>GLM-5(754B-A40B)</t>
    <phoneticPr fontId="2"/>
  </si>
  <si>
    <t>Kimi2.5-instant(1100B-A32B)</t>
    <phoneticPr fontId="2"/>
  </si>
  <si>
    <t>nano 4B</t>
    <phoneticPr fontId="2"/>
  </si>
  <si>
    <t>no_think</t>
    <phoneticPr fontId="2"/>
  </si>
  <si>
    <t>nvidia</t>
    <phoneticPr fontId="2"/>
  </si>
  <si>
    <t>super low</t>
    <phoneticPr fontId="2"/>
  </si>
  <si>
    <t>super high</t>
    <phoneticPr fontId="2"/>
  </si>
  <si>
    <t>nano 30B</t>
    <phoneticPr fontId="2"/>
  </si>
  <si>
    <t>MiniMax M2.7</t>
    <phoneticPr fontId="2"/>
  </si>
  <si>
    <t>mimo v2 pro</t>
    <phoneticPr fontId="2"/>
  </si>
  <si>
    <t>Xiaomi</t>
  </si>
  <si>
    <t>Qwen3.5 9B Q4</t>
    <phoneticPr fontId="2"/>
  </si>
  <si>
    <t>mimo v2 pro(1000B-A42B)</t>
    <phoneticPr fontId="2"/>
  </si>
  <si>
    <t>Qwen3.5 9B Q6</t>
    <phoneticPr fontId="2"/>
  </si>
  <si>
    <t>Qwen3.5 27B Q4</t>
    <phoneticPr fontId="2"/>
  </si>
  <si>
    <t>use unsol def no think</t>
    <phoneticPr fontId="2"/>
  </si>
  <si>
    <t>Qwen3.5 35B-A3B Q4</t>
    <phoneticPr fontId="2"/>
  </si>
  <si>
    <t>Q6は実行不可</t>
    <rPh sb="3" eb="5">
      <t xml:space="preserve">ジッコウ </t>
    </rPh>
    <rPh sb="5" eb="7">
      <t xml:space="preserve">フカ </t>
    </rPh>
    <phoneticPr fontId="2"/>
  </si>
  <si>
    <t>use lmstudio think off</t>
    <phoneticPr fontId="2"/>
  </si>
  <si>
    <t>Googleコラボ</t>
    <phoneticPr fontId="2"/>
  </si>
  <si>
    <t>GPU A100</t>
    <phoneticPr fontId="2"/>
  </si>
  <si>
    <t>webui GPU L4/model unsol</t>
    <phoneticPr fontId="2"/>
  </si>
  <si>
    <t>Cascade 2 30B A3B 4bit 4BIT</t>
    <phoneticPr fontId="2"/>
  </si>
  <si>
    <t>Lmstudio</t>
    <phoneticPr fontId="2"/>
  </si>
  <si>
    <t>Qwen3.5 35B-A3B</t>
    <phoneticPr fontId="2"/>
  </si>
  <si>
    <t>多分推論</t>
    <rPh sb="0" eb="2">
      <t>タブン</t>
    </rPh>
    <rPh sb="2" eb="4">
      <t>スイロン</t>
    </rPh>
    <phoneticPr fontId="2"/>
  </si>
  <si>
    <t>gemma-4-31b</t>
    <phoneticPr fontId="2"/>
  </si>
  <si>
    <t>Gemma4</t>
    <phoneticPr fontId="2"/>
  </si>
  <si>
    <t>gemma-4-26b-a4b</t>
    <phoneticPr fontId="2"/>
  </si>
  <si>
    <t>コメント</t>
    <phoneticPr fontId="2"/>
  </si>
  <si>
    <t>Qwen3.6 plus</t>
    <phoneticPr fontId="2"/>
  </si>
  <si>
    <t>Qwen3.6</t>
    <phoneticPr fontId="2"/>
  </si>
  <si>
    <t>o_mode</t>
    <phoneticPr fontId="2"/>
  </si>
  <si>
    <t>think</t>
    <phoneticPr fontId="2"/>
  </si>
  <si>
    <t>LLMJP</t>
    <phoneticPr fontId="2"/>
  </si>
  <si>
    <t>LLMJP4</t>
    <phoneticPr fontId="2"/>
  </si>
  <si>
    <t>temperature=1.0/top_p=0.95/top_k=64</t>
    <phoneticPr fontId="2"/>
  </si>
  <si>
    <t>gemma-4-E4B-it</t>
    <phoneticPr fontId="2"/>
  </si>
  <si>
    <t>LLMJP4 8B think Q4</t>
    <phoneticPr fontId="2"/>
  </si>
  <si>
    <t>LLMJP4 8B think Q8</t>
    <phoneticPr fontId="2"/>
  </si>
  <si>
    <t>LLMJP4 32B-A3B think Q4</t>
    <phoneticPr fontId="2"/>
  </si>
  <si>
    <t>GGUF非公式モデル</t>
    <rPh sb="4" eb="7">
      <t xml:space="preserve">ヒコウシキ </t>
    </rPh>
    <phoneticPr fontId="2"/>
  </si>
  <si>
    <t>GLM-5.1</t>
    <phoneticPr fontId="2"/>
  </si>
  <si>
    <t>GLM-5.1(754B-A40B)</t>
    <phoneticPr fontId="2"/>
  </si>
  <si>
    <t>LLMJP3</t>
    <phoneticPr fontId="2"/>
  </si>
  <si>
    <t>LLMJP3.1</t>
    <phoneticPr fontId="2"/>
  </si>
  <si>
    <t>LLMJP3 7.2B Q4</t>
    <phoneticPr fontId="2"/>
  </si>
  <si>
    <t>LLMJP3.1 13B Q4</t>
    <phoneticPr fontId="2"/>
  </si>
  <si>
    <t>Meta</t>
    <phoneticPr fontId="2"/>
  </si>
  <si>
    <t>熟孝</t>
    <rPh sb="0" eb="1">
      <t xml:space="preserve">ジュク </t>
    </rPh>
    <phoneticPr fontId="2"/>
  </si>
  <si>
    <t>MetaAI</t>
    <phoneticPr fontId="2"/>
  </si>
  <si>
    <t>即時</t>
    <rPh sb="0" eb="2">
      <t xml:space="preserve">ソクジ </t>
    </rPh>
    <phoneticPr fontId="2"/>
  </si>
  <si>
    <t>Muse Spark</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</si>
</sst>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charset val="1"/>
    </font>
    <font>
      <sz val="11"/>
      <color theme="1"/>
      <name val="ＭＳ Ｐゴシック"/>
      <family val="2"/>
      <charset val="1"/>
    </font>
    <font>
      <sz val="6"/>
      <name val="ＭＳ Ｐゴシック"/>
      <family val="3"/>
      <charset val="128"/>
    </font>
    <font>
      <sz val="11"/>
      <name val="ＭＳ Ｐゴシック"/>
      <family val="3"/>
      <charset val="128"/>
    </font>
    <font>
      <sz val="11"/>
      <color theme="1"/>
      <name val="ＭＳ Ｐゴシック"/>
      <family val="3"/>
      <charset val="128"/>
    </font>
    <font>
      <sz val="6"/>
      <name val="Tsukushi A Round Gothic Bold"/>
      <family val="3"/>
      <charset val="128"/>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38" fontId="1" fillId="0" borderId="0" applyBorder="0" applyProtection="0"/>
    <xf numFmtId="38" fontId="1" fillId="0" borderId="0" applyFont="0" applyFill="0" applyBorder="0" applyAlignment="0" applyProtection="0">
      <alignment vertical="center"/>
    </xf>
  </cellStyleXfs>
  <cellXfs count="19">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right" vertical="center"/>
    </xf>
    <xf numFmtId="0" fontId="3" fillId="0" borderId="1" xfId="0" applyFont="1" applyBorder="1" applyAlignment="1">
      <alignment horizontal="left" vertical="center"/>
    </xf>
    <xf numFmtId="0" fontId="0" fillId="0" borderId="0" xfId="0" applyAlignment="1">
      <alignment horizontal="right"/>
    </xf>
    <xf numFmtId="0" fontId="0" fillId="0" borderId="0" xfId="0" applyAlignment="1">
      <alignment horizontal="left"/>
    </xf>
    <xf numFmtId="0" fontId="4" fillId="0" borderId="1" xfId="0" applyFont="1" applyBorder="1"/>
    <xf numFmtId="0" fontId="0" fillId="0" borderId="1" xfId="0" applyBorder="1"/>
    <xf numFmtId="0" fontId="4" fillId="0" borderId="1" xfId="0" applyFont="1" applyBorder="1" applyAlignment="1">
      <alignment horizontal="right"/>
    </xf>
    <xf numFmtId="0" fontId="4" fillId="0" borderId="1" xfId="0" applyFont="1" applyBorder="1" applyAlignment="1">
      <alignment horizontal="left"/>
    </xf>
    <xf numFmtId="40" fontId="4" fillId="0" borderId="1" xfId="2" applyNumberFormat="1" applyFont="1" applyFill="1" applyBorder="1" applyAlignment="1" applyProtection="1">
      <alignment horizontal="right" vertical="center"/>
    </xf>
    <xf numFmtId="40" fontId="4" fillId="0" borderId="1" xfId="1" applyNumberFormat="1" applyFont="1" applyBorder="1" applyProtection="1"/>
    <xf numFmtId="40" fontId="4" fillId="0" borderId="1" xfId="2" applyNumberFormat="1" applyFont="1" applyFill="1" applyBorder="1" applyAlignment="1">
      <alignment horizontal="right" vertical="center"/>
    </xf>
    <xf numFmtId="4" fontId="4" fillId="0" borderId="1" xfId="0" applyNumberFormat="1" applyFont="1" applyBorder="1"/>
    <xf numFmtId="0" fontId="0" fillId="0" borderId="1" xfId="0" applyBorder="1" applyAlignment="1">
      <alignment horizontal="left"/>
    </xf>
    <xf numFmtId="0" fontId="0" fillId="0" borderId="1" xfId="0" applyBorder="1" applyAlignment="1">
      <alignment horizontal="right"/>
    </xf>
    <xf numFmtId="0" fontId="0" fillId="0" borderId="2" xfId="0" applyBorder="1"/>
    <xf numFmtId="40" fontId="4" fillId="0" borderId="1" xfId="2" applyNumberFormat="1" applyFont="1" applyBorder="1" applyAlignment="1"/>
    <xf numFmtId="40" fontId="0" fillId="0" borderId="1" xfId="2" applyNumberFormat="1" applyFont="1" applyBorder="1" applyAlignment="1"/>
  </cellXfs>
  <cellStyles count="3">
    <cellStyle name="Excel Built-in Comma [0] 1" xfId="1" xr:uid="{48464326-0887-4C1F-B45D-29E90FA3CAC6}"/>
    <cellStyle name="桁区切り" xfId="2" builtinId="6"/>
    <cellStyle name="標準"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241300</xdr:colOff>
      <xdr:row>2</xdr:row>
      <xdr:rowOff>63500</xdr:rowOff>
    </xdr:from>
    <xdr:to>
      <xdr:col>10</xdr:col>
      <xdr:colOff>800100</xdr:colOff>
      <xdr:row>25</xdr:row>
      <xdr:rowOff>38100</xdr:rowOff>
    </xdr:to>
    <xdr:sp macro="" textlink="">
      <xdr:nvSpPr>
        <xdr:cNvPr id="2" name="テキスト ボックス 1">
          <a:extLst>
            <a:ext uri="{FF2B5EF4-FFF2-40B4-BE49-F238E27FC236}">
              <a16:creationId xmlns:a16="http://schemas.microsoft.com/office/drawing/2014/main" id="{A3308BE6-0B7C-728B-D924-9B375D14BB53}"/>
            </a:ext>
          </a:extLst>
        </xdr:cNvPr>
        <xdr:cNvSpPr txBox="1"/>
      </xdr:nvSpPr>
      <xdr:spPr>
        <a:xfrm>
          <a:off x="1892300" y="419100"/>
          <a:ext cx="7162800" cy="406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600" b="0" i="0">
              <a:solidFill>
                <a:schemeClr val="dk1"/>
              </a:solidFill>
              <a:effectLst/>
              <a:latin typeface="+mn-lt"/>
              <a:ea typeface="+mn-ea"/>
              <a:cs typeface="+mn-cs"/>
            </a:rPr>
            <a:t>We recommend using the following set of sampling parameters for generation</a:t>
          </a:r>
        </a:p>
        <a:p>
          <a:r>
            <a:rPr lang="en-US" altLang="ja-JP" sz="1600" b="0" i="0">
              <a:solidFill>
                <a:schemeClr val="dk1"/>
              </a:solidFill>
              <a:effectLst/>
              <a:latin typeface="+mn-lt"/>
              <a:ea typeface="+mn-ea"/>
              <a:cs typeface="+mn-cs"/>
            </a:rPr>
            <a:t>9B/27B/35B-A3B</a:t>
          </a:r>
          <a:r>
            <a:rPr lang="ja-JP" altLang="en-US" sz="1600" b="0" i="0">
              <a:solidFill>
                <a:schemeClr val="dk1"/>
              </a:solidFill>
              <a:effectLst/>
              <a:latin typeface="+mn-lt"/>
              <a:ea typeface="+mn-ea"/>
              <a:cs typeface="+mn-cs"/>
            </a:rPr>
            <a:t>共通</a:t>
          </a:r>
          <a:endParaRPr lang="en-US" altLang="ja-JP" sz="1600" b="0" i="0">
            <a:solidFill>
              <a:schemeClr val="dk1"/>
            </a:solidFill>
            <a:effectLst/>
            <a:latin typeface="+mn-lt"/>
            <a:ea typeface="+mn-ea"/>
            <a:cs typeface="+mn-cs"/>
          </a:endParaRPr>
        </a:p>
        <a:p>
          <a:endParaRPr lang="en-US" altLang="ja-JP" sz="1600" b="0" i="0">
            <a:solidFill>
              <a:schemeClr val="dk1"/>
            </a:solidFill>
            <a:effectLst/>
            <a:latin typeface="+mn-lt"/>
            <a:ea typeface="+mn-ea"/>
            <a:cs typeface="+mn-cs"/>
          </a:endParaRPr>
        </a:p>
        <a:p>
          <a:r>
            <a:rPr lang="en-US" altLang="ja-JP" sz="1600" b="0" i="0">
              <a:solidFill>
                <a:schemeClr val="dk1"/>
              </a:solidFill>
              <a:effectLst/>
              <a:latin typeface="+mn-lt"/>
              <a:ea typeface="+mn-ea"/>
              <a:cs typeface="+mn-cs"/>
            </a:rPr>
            <a:t>Thinking mode for general tasks: temperature=1.0, top_p=0.95, top_k=20, min_p=0.0, presence_penalty=1.5, repetition_penalty=1.0</a:t>
          </a:r>
        </a:p>
        <a:p>
          <a:endParaRPr lang="en-US" altLang="ja-JP" sz="1600" b="0" i="0">
            <a:solidFill>
              <a:schemeClr val="dk1"/>
            </a:solidFill>
            <a:effectLst/>
            <a:latin typeface="+mn-lt"/>
            <a:ea typeface="+mn-ea"/>
            <a:cs typeface="+mn-cs"/>
          </a:endParaRPr>
        </a:p>
        <a:p>
          <a:r>
            <a:rPr lang="en-US" altLang="ja-JP" sz="1600" b="0" i="0">
              <a:solidFill>
                <a:schemeClr val="dk1"/>
              </a:solidFill>
              <a:effectLst/>
              <a:latin typeface="+mn-lt"/>
              <a:ea typeface="+mn-ea"/>
              <a:cs typeface="+mn-cs"/>
            </a:rPr>
            <a:t>Thinking mode for precise coding tasks (e.g. WebDev): temperature=0.6, top_p=0.95, top_k=20, min_p=0.0, presence_penalty=0.0, repetition_penalty=1.0</a:t>
          </a:r>
        </a:p>
        <a:p>
          <a:endParaRPr lang="en-US" altLang="ja-JP" sz="1600" b="0" i="0">
            <a:solidFill>
              <a:schemeClr val="dk1"/>
            </a:solidFill>
            <a:effectLst/>
            <a:latin typeface="+mn-lt"/>
            <a:ea typeface="+mn-ea"/>
            <a:cs typeface="+mn-cs"/>
          </a:endParaRPr>
        </a:p>
        <a:p>
          <a:r>
            <a:rPr lang="en-US" altLang="ja-JP" sz="1600" b="0" i="0">
              <a:solidFill>
                <a:schemeClr val="dk1"/>
              </a:solidFill>
              <a:effectLst/>
              <a:latin typeface="+mn-lt"/>
              <a:ea typeface="+mn-ea"/>
              <a:cs typeface="+mn-cs"/>
            </a:rPr>
            <a:t>Instruct (or non-thinking) mode for general tasks: temperature=0.7, top_p=0.8, top_k=20, min_p=0.0, presence_penalty=1.5, repetition_penalty=1.0</a:t>
          </a:r>
        </a:p>
        <a:p>
          <a:endParaRPr lang="en-US" altLang="ja-JP" sz="1600" b="0" i="0">
            <a:solidFill>
              <a:schemeClr val="dk1"/>
            </a:solidFill>
            <a:effectLst/>
            <a:latin typeface="+mn-lt"/>
            <a:ea typeface="+mn-ea"/>
            <a:cs typeface="+mn-cs"/>
          </a:endParaRPr>
        </a:p>
        <a:p>
          <a:r>
            <a:rPr lang="en-US" altLang="ja-JP" sz="1600" b="0" i="0">
              <a:solidFill>
                <a:schemeClr val="dk1"/>
              </a:solidFill>
              <a:effectLst/>
              <a:latin typeface="+mn-lt"/>
              <a:ea typeface="+mn-ea"/>
              <a:cs typeface="+mn-cs"/>
            </a:rPr>
            <a:t>Instruct (or non-thinking) mode for reasoning tasks: temperature=1.0, top_p=0.95, top_k=20, min_p=0.0, presence_penalty=1.5, repetition_penalty=1.0</a:t>
          </a:r>
        </a:p>
        <a:p>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嘉久 岩佐" id="{AE73240C-4753-4905-930E-A717DEDBF2D3}" userId="757ea51b92c07e82"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38" dT="2026-02-25T23:47:44.43" personId="{AE73240C-4753-4905-930E-A717DEDBF2D3}" id="{DF4DF4DB-4967-4405-98A8-1FBB786A654F}">
    <text>矛盾指摘のあとに強引に回答する部分があるので減点</text>
  </threadedComment>
  <threadedComment ref="J39" dT="2026-02-25T23:47:51.81" personId="{AE73240C-4753-4905-930E-A717DEDBF2D3}" id="{FB345C65-5C37-45F9-A469-8CAB53FCD03F}">
    <text>矛盾指摘のあとに強引に回答する部分があるので減点</text>
  </threadedComment>
  <threadedComment ref="J40" dT="2026-02-25T23:47:51.81" personId="{AE73240C-4753-4905-930E-A717DEDBF2D3}" id="{BBD739F6-B6D5-4ED2-A3B0-FD02A96A58CB}">
    <text>矛盾指摘のあとに強引に回答する部分があるので減点</text>
  </threadedComment>
  <threadedComment ref="K41" dT="2026-02-25T23:47:51.81" personId="{AE73240C-4753-4905-930E-A717DEDBF2D3}" id="{16E1ADF1-BEE5-4E2E-BF83-709A01497308}">
    <text>矛盾指摘のあとに強引に回答する部分があるので減点</text>
  </threadedComment>
  <threadedComment ref="K42" dT="2026-03-04T23:46:10.95" personId="{AE73240C-4753-4905-930E-A717DEDBF2D3}" id="{4F374640-D5DA-8E4B-ADB3-AB279393020D}">
    <text>強引な最後の回答で減点４を無視して１２３で回答</text>
  </threadedComment>
  <threadedComment ref="N42" dT="2026-03-04T23:47:42.02" personId="{AE73240C-4753-4905-930E-A717DEDBF2D3}" id="{235DDBD8-CF4E-D14D-89B7-E79476861E25}">
    <text>西南と回答ただしカッコ内に南西を書いているので０．９５</text>
  </threadedComment>
  <threadedComment ref="J43" dT="2026-03-04T23:59:22.84" personId="{AE73240C-4753-4905-930E-A717DEDBF2D3}" id="{D03EE219-86F3-8648-B21C-D53DE772F6EB}">
    <text>最後にマイナスの重量を見せている</text>
  </threadedComment>
  <threadedComment ref="K43" dT="2026-03-04T23:58:58.15" personId="{AE73240C-4753-4905-930E-A717DEDBF2D3}" id="{7BAFE44F-D808-0749-A71B-D5A3D49C6663}">
    <text>矛盾指摘はできているがその後の説明が強引</text>
  </threadedComment>
  <threadedComment ref="K44" dT="2026-03-04T23:58:58.15" personId="{AE73240C-4753-4905-930E-A717DEDBF2D3}" id="{74208E6B-CBFE-6044-849A-BBB8C5F99374}">
    <text>矛盾指摘はできているがその後の説明が強引</text>
  </threadedComment>
  <threadedComment ref="J45" dT="2026-03-05T00:00:35.27" personId="{AE73240C-4753-4905-930E-A717DEDBF2D3}" id="{646CE2CE-E750-9C47-9094-CFBA40849552}">
    <text>最後に余計な説明あり</text>
  </threadedComment>
  <threadedComment ref="K45" dT="2026-03-05T00:01:28.89" personId="{AE73240C-4753-4905-930E-A717DEDBF2D3}" id="{18C04FAA-40E6-8B4D-B3A1-3B6592E57E78}">
    <text>矛盾指摘が少しわかりずらかった</text>
  </threadedComment>
  <threadedComment ref="M45" dT="2026-03-05T00:07:20.76" personId="{AE73240C-4753-4905-930E-A717DEDBF2D3}" id="{07F59CFC-6900-A548-8650-E21C1451475C}">
    <text>ノンアルで割引可否が判断できていない</text>
  </threadedComment>
  <threadedComment ref="J46" dT="2026-03-05T00:00:35.27" personId="{AE73240C-4753-4905-930E-A717DEDBF2D3}" id="{9B7C4CC6-F1E8-4012-BCD5-6A52E6E99201}">
    <text>最後に余計な説明あり</text>
  </threadedComment>
  <threadedComment ref="K46" dT="2026-03-04T23:58:58.15" personId="{AE73240C-4753-4905-930E-A717DEDBF2D3}" id="{4E775857-1E4A-45CB-807B-4241763AB936}">
    <text>矛盾指摘はできているがその後の説明が強引</text>
  </threadedComment>
  <threadedComment ref="J47" dT="2026-03-05T00:00:35.27" personId="{AE73240C-4753-4905-930E-A717DEDBF2D3}" id="{B68AD8DB-B2FD-4B86-8582-DAAF2E2742A9}">
    <text>最後に余計な説明あり</text>
  </threadedComment>
  <threadedComment ref="K47" dT="2026-03-04T23:58:58.15" personId="{AE73240C-4753-4905-930E-A717DEDBF2D3}" id="{6F9FE24D-E98C-4C5A-B9C8-D2D0436BC119}">
    <text>矛盾指摘はできているがその後の説明が強引</text>
  </threadedComment>
  <threadedComment ref="K48" dT="2026-03-17T00:04:17.89" personId="{AE73240C-4753-4905-930E-A717DEDBF2D3}" id="{F8E95876-6AE2-314B-86AA-3D71EA04F945}">
    <text>矛盾指摘らしきはでているがだめ</text>
  </threadedComment>
  <threadedComment ref="N48" dT="2026-03-17T00:08:05.98" personId="{AE73240C-4753-4905-930E-A717DEDBF2D3}" id="{041A8CBF-134D-B14D-AA31-47776262787C}">
    <text>西南で逆なので</text>
  </threadedComment>
  <threadedComment ref="H49" dT="2026-03-16T23:46:58.69" personId="{AE73240C-4753-4905-930E-A717DEDBF2D3}" id="{63CC0BD2-0B47-F84A-9296-C9F2947CCDAB}">
    <text xml:space="preserve">回答はあっているが時間はめちゃクヤ
</text>
  </threadedComment>
  <threadedComment ref="J49" dT="2026-03-16T23:49:33.31" personId="{AE73240C-4753-4905-930E-A717DEDBF2D3}" id="{B180EBDB-D8C2-7E45-B8BF-B1090C12EABB}">
    <text>矛盾は間接的に指摘</text>
  </threadedComment>
  <threadedComment ref="N51" dT="2026-03-17T00:08:05.98" personId="{AE73240C-4753-4905-930E-A717DEDBF2D3}" id="{2525D786-223A-C444-A202-5A09E2240E47}">
    <text>西南で逆なので</text>
  </threadedComment>
  <threadedComment ref="K52" dT="2026-03-05T00:01:28.89" personId="{AE73240C-4753-4905-930E-A717DEDBF2D3}" id="{95F8A7F0-6B87-8A47-9BC0-55D707E43537}">
    <text>矛盾指摘が少しわかりずらかった</text>
  </threadedComment>
  <threadedComment ref="H54" dT="2026-03-17T22:13:48.66" personId="{AE73240C-4753-4905-930E-A717DEDBF2D3}" id="{7512062D-8973-0B48-9FED-51C2C1DB61B3}">
    <text>正解、不正解とあるため</text>
  </threadedComment>
  <threadedComment ref="J54" dT="2026-03-16T23:49:33.31" personId="{AE73240C-4753-4905-930E-A717DEDBF2D3}" id="{7EA9FE27-26A8-624E-883A-AB22B6E0F280}">
    <text>矛盾は間接的に指摘</text>
  </threadedComment>
  <threadedComment ref="K54" dT="2026-03-17T00:04:17.89" personId="{AE73240C-4753-4905-930E-A717DEDBF2D3}" id="{D5F12CC7-1E6C-4243-906C-70C98DEEEC04}">
    <text>矛盾指摘らしきはでているがだめ</text>
  </threadedComment>
  <threadedComment ref="K55" dT="2026-03-17T00:04:17.89" personId="{AE73240C-4753-4905-930E-A717DEDBF2D3}" id="{90B45BF7-9582-4EA6-88CA-94E5029A2162}">
    <text>矛盾指摘らしきはでているがだめ</text>
  </threadedComment>
  <threadedComment ref="J56" dT="2026-03-05T00:00:35.27" personId="{AE73240C-4753-4905-930E-A717DEDBF2D3}" id="{906ACB1A-9155-DC41-9E04-C9ABAC9C7986}">
    <text>最後に余計な説明あり</text>
  </threadedComment>
  <threadedComment ref="K56" dT="2026-03-17T00:04:17.89" personId="{AE73240C-4753-4905-930E-A717DEDBF2D3}" id="{B56BCA52-14A2-4549-B8FA-95A13153BE9D}">
    <text>矛盾指摘らしきはでているがだめ</text>
  </threadedComment>
  <threadedComment ref="K57" dT="2026-03-04T23:58:58.15" personId="{AE73240C-4753-4905-930E-A717DEDBF2D3}" id="{B843E2C2-503E-BD4D-9C54-D13192129055}">
    <text>矛盾指摘はできているがその後の説明が強引</text>
  </threadedComment>
  <threadedComment ref="K58" dT="2026-03-04T23:58:58.15" personId="{AE73240C-4753-4905-930E-A717DEDBF2D3}" id="{B2012910-F894-C04D-A9AF-8ABFC9ACC8A6}">
    <text>矛盾指摘はできているがその後の説明が強引</text>
  </threadedComment>
  <threadedComment ref="J59" dT="2026-03-05T00:00:35.27" personId="{AE73240C-4753-4905-930E-A717DEDBF2D3}" id="{555D37A2-24C6-9D45-83CF-E99738F4F330}">
    <text>最後に余計な説明あり</text>
  </threadedComment>
  <threadedComment ref="K59" dT="2026-03-04T23:58:58.15" personId="{AE73240C-4753-4905-930E-A717DEDBF2D3}" id="{8A7B8D25-20EC-8D4E-AF2B-7E8AEBEE410C}">
    <text>矛盾指摘はできているがその後の説明が強引</text>
  </threadedComment>
  <threadedComment ref="J60" dT="2026-03-05T00:00:35.27" personId="{AE73240C-4753-4905-930E-A717DEDBF2D3}" id="{65188DE7-B8F4-BA4F-8D76-89D25AC2768D}">
    <text>最後に余計な説明あり</text>
  </threadedComment>
  <threadedComment ref="K60" dT="2026-03-04T23:58:58.15" personId="{AE73240C-4753-4905-930E-A717DEDBF2D3}" id="{6ED93E27-A98D-8841-8786-37EE7E707BA5}">
    <text>矛盾指摘はできているがその後の説明が強引</text>
  </threadedComment>
  <threadedComment ref="J61" dT="2026-03-05T00:00:35.27" personId="{AE73240C-4753-4905-930E-A717DEDBF2D3}" id="{87E3FB73-21E0-6042-981A-6DE96CB840DE}">
    <text>最後に余計な説明あり</text>
  </threadedComment>
  <threadedComment ref="N61" dT="2026-03-17T00:08:05.98" personId="{AE73240C-4753-4905-930E-A717DEDBF2D3}" id="{F21A5DEA-9C64-3E41-9DF7-A5CCC0F04B2C}">
    <text>西南でカッコで逆なので減点</text>
  </threadedComment>
  <threadedComment ref="J62" dT="2026-03-05T00:00:35.27" personId="{AE73240C-4753-4905-930E-A717DEDBF2D3}" id="{F32189D3-AEB7-754D-9228-DBAF5608101E}">
    <text>最後に余計な説明あり</text>
  </threadedComment>
  <threadedComment ref="J63" dT="2026-03-05T00:00:35.27" personId="{AE73240C-4753-4905-930E-A717DEDBF2D3}" id="{C4938245-9739-9946-BD09-9ADB6BE9E6F9}">
    <text>最後に余計な説明あり</text>
  </threadedComment>
  <threadedComment ref="K64" dT="2026-03-24T22:40:06.64" personId="{AE73240C-4753-4905-930E-A717DEDBF2D3}" id="{FE307E16-C36E-D046-9D81-15BD9431A2B5}">
    <text>説明がちょっとくどい</text>
  </threadedComment>
  <threadedComment ref="J65" dT="2026-03-05T00:00:35.27" personId="{AE73240C-4753-4905-930E-A717DEDBF2D3}" id="{1F98F91C-8B7D-8742-8ECB-B83FA8293C32}">
    <text>最後に余計な説明あり</text>
  </threadedComment>
  <threadedComment ref="K65" dT="2026-03-04T23:58:58.15" personId="{AE73240C-4753-4905-930E-A717DEDBF2D3}" id="{F71ABAE8-61D5-774C-B664-E710AA2BF45B}">
    <text>矛盾指摘はできているがその後の説明が強引</text>
  </threadedComment>
  <threadedComment ref="N65" dT="2026-03-17T00:08:05.98" personId="{AE73240C-4753-4905-930E-A717DEDBF2D3}" id="{1805F1D1-E86A-9B4E-914C-2EC1FF58961E}">
    <text>西南で逆なので</text>
  </threadedComment>
  <threadedComment ref="J66" dT="2026-03-05T00:00:35.27" personId="{AE73240C-4753-4905-930E-A717DEDBF2D3}" id="{3AB94B3C-38E3-4AB9-943D-92082BA28C7C}">
    <text>最後に余計な説明あり</text>
  </threadedComment>
  <threadedComment ref="K66" dT="2026-03-24T22:40:06.64" personId="{AE73240C-4753-4905-930E-A717DEDBF2D3}" id="{5FCCE96D-2996-4023-A38B-4780EC832C69}">
    <text>説明がちょっとくどい</text>
  </threadedComment>
  <threadedComment ref="K68" dT="2026-03-24T22:40:06.64" personId="{AE73240C-4753-4905-930E-A717DEDBF2D3}" id="{B16D9A8F-84E9-4F8F-A310-A05C9B630C71}">
    <text>説明がちょっとくどい</text>
  </threadedComment>
  <threadedComment ref="M69" dT="2026-03-24T22:40:06.64" personId="{AE73240C-4753-4905-930E-A717DEDBF2D3}" id="{C8BD3819-6BC8-4CB7-8CA9-72C505A267D6}">
    <text>補足コメントが誤解させるので減点</text>
  </threadedComment>
  <threadedComment ref="H70" dT="2026-03-17T22:13:48.66" personId="{AE73240C-4753-4905-930E-A717DEDBF2D3}" id="{63EFE9E4-5734-B34C-A71A-728109399D29}">
    <text>順番はあっているが時間が違う、回答も英文、正解・不正解混在</text>
  </threadedComment>
  <threadedComment ref="L70" dT="2026-04-04T01:34:51.36" personId="{AE73240C-4753-4905-930E-A717DEDBF2D3}" id="{300CAF9E-1CD5-5442-80F0-E10DB45E6E4D}">
    <text>回答後に質問作成でループ発生</text>
  </threadedComment>
  <threadedComment ref="M70" dT="2026-04-04T01:34:51.36" personId="{AE73240C-4753-4905-930E-A717DEDBF2D3}" id="{E6234749-0D6C-6F40-9583-A85F92E11CC5}">
    <text>回答後に質問作成でループ発生</text>
  </threadedComment>
  <threadedComment ref="Q70" dT="2026-04-04T01:37:37.31" personId="{AE73240C-4753-4905-930E-A717DEDBF2D3}" id="{CA761035-5EA4-3C49-9F4C-AE8150B46603}">
    <text>回答のあとに質問作成してそのループあり</text>
  </threadedComment>
  <threadedComment ref="H72" dT="2026-04-08T05:05:17.37" personId="{AE73240C-4753-4905-930E-A717DEDBF2D3}" id="{A8A250DF-21D7-934B-82EA-6C04653166EE}">
    <text>Qの到着時刻がおかしい</text>
  </threadedComment>
  <threadedComment ref="K72" dT="2026-04-04T02:06:36.27" personId="{AE73240C-4753-4905-930E-A717DEDBF2D3}" id="{5DFD685E-6448-564A-9DC5-C2E6FA8BFBEC}">
    <text>矛盾指摘しているが備考項目に書かれているので減点</text>
  </threadedComment>
  <threadedComment ref="J73" dT="2026-03-05T00:00:35.27" personId="{AE73240C-4753-4905-930E-A717DEDBF2D3}" id="{58B2F834-8BFC-E84B-A88B-F7FA8A0D4C4B}">
    <text>最後に余計な説明あり</text>
  </threadedComment>
  <threadedComment ref="K73" dT="2026-03-04T23:58:58.15" personId="{AE73240C-4753-4905-930E-A717DEDBF2D3}" id="{F016E661-0177-8045-944D-C3B5272695C1}">
    <text>矛盾指摘はできているがその後の説明が強引</text>
  </threadedComment>
  <threadedComment ref="J74" dT="2026-03-04T23:58:58.15" personId="{AE73240C-4753-4905-930E-A717DEDBF2D3}" id="{9713E47D-F612-8743-8F23-A345E02FF8BF}">
    <text>矛盾指摘はしているがほとんど間違った回答が多い</text>
  </threadedComment>
  <threadedComment ref="K74" dT="2026-03-04T23:58:58.15" personId="{AE73240C-4753-4905-930E-A717DEDBF2D3}" id="{AD7CCC7F-623A-A244-8B27-1B85DEF10A8A}">
    <text>矛盾指摘はしているが別の回答が前面にでているのでわ気がつかない可能性あり</text>
  </threadedComment>
  <threadedComment ref="J75" dT="2026-03-05T00:00:35.27" personId="{AE73240C-4753-4905-930E-A717DEDBF2D3}" id="{3BCC1E8A-ED01-2043-953C-D38681D950DA}">
    <text>最後に余計な説明あり</text>
  </threadedComment>
  <threadedComment ref="K75" dT="2026-03-04T23:58:58.15" personId="{AE73240C-4753-4905-930E-A717DEDBF2D3}" id="{50C85152-F129-A645-9A2D-43AE89F1FDCA}">
    <text>矛盾指摘はできているがその後の説明が強引</text>
  </threadedComment>
  <threadedComment ref="J76" dT="2026-03-05T00:00:35.27" personId="{AE73240C-4753-4905-930E-A717DEDBF2D3}" id="{3E3902BC-0B8B-B64C-936D-BCFA89139B80}">
    <text>最後に余計な説明あり</text>
  </threadedComment>
  <threadedComment ref="K76" dT="2026-04-04T02:06:36.27" personId="{AE73240C-4753-4905-930E-A717DEDBF2D3}" id="{07F7F939-DA9F-5641-96B8-6BF75F1E4B9D}">
    <text>矛盾指摘しているが備考項目に書かれているので減点</text>
  </threadedComment>
  <threadedComment ref="J79" dT="2026-03-05T00:00:35.27" personId="{AE73240C-4753-4905-930E-A717DEDBF2D3}" id="{878323EA-F60F-E44B-99FB-4EDDC884C62B}">
    <text>最後に余計な説明あり</text>
  </threadedComment>
  <threadedComment ref="K79" dT="2026-03-05T00:00:35.27" personId="{AE73240C-4753-4905-930E-A717DEDBF2D3}" id="{1E421765-078B-F34D-AC14-CC5D12A0FE82}">
    <text>最後に余計な説明あり</text>
  </threadedComment>
  <threadedComment ref="O79" dT="2026-04-09T21:10:37.66" personId="{AE73240C-4753-4905-930E-A717DEDBF2D3}" id="{CE329187-1C62-BE47-9191-A1B39B12BEAB}">
    <text>最初の回答が不正解</text>
  </threadedComment>
  <threadedComment ref="J80" dT="2026-03-05T00:00:35.27" personId="{AE73240C-4753-4905-930E-A717DEDBF2D3}" id="{D2465899-4A6F-C54B-81F0-8EDDFE63E18C}">
    <text>最後に余計な説明あり</text>
  </threadedComment>
  <threadedComment ref="K80" dT="2026-03-05T00:00:35.27" personId="{AE73240C-4753-4905-930E-A717DEDBF2D3}" id="{DB74B571-ACC3-0544-9616-F26464579878}">
    <text>最後に余計な説明あり</text>
  </threadedComment>
  <threadedComment ref="M80" dT="2026-04-09T21:14:18.09" personId="{AE73240C-4753-4905-930E-A717DEDBF2D3}" id="{9C405668-D82A-824C-BAB4-D409EDFEEBCD}">
    <text>備考で両方を書いているので減点</text>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6-03-05T00:00:35.27" personId="{AE73240C-4753-4905-930E-A717DEDBF2D3}" id="{23D94A30-018B-9C41-A5BE-D250FD539AAA}">
    <text>最後に余計な説明あり</text>
  </threadedComment>
  <threadedComment ref="J9" dT="2026-03-04T23:58:58.15" personId="{AE73240C-4753-4905-930E-A717DEDBF2D3}" id="{AA398652-F8C7-AD43-BBBB-B24606590D29}">
    <text>矛盾指摘はできているがその後の説明が強引</text>
  </threadedComment>
  <threadedComment ref="J10" dT="2026-03-04T23:58:58.15" personId="{AE73240C-4753-4905-930E-A717DEDBF2D3}" id="{B4E0D6BD-D748-8145-B23D-B87227642F9C}">
    <text>矛盾指摘はできているがその後の説明が強引</text>
  </threadedComment>
  <threadedComment ref="I12" dT="2026-03-05T00:00:35.27" personId="{AE73240C-4753-4905-930E-A717DEDBF2D3}" id="{0141016C-E873-FC42-9A4F-E02A7FB2A314}">
    <text>最後に余計な説明あり</text>
  </threadedComment>
  <threadedComment ref="J12" dT="2026-03-04T23:58:58.15" personId="{AE73240C-4753-4905-930E-A717DEDBF2D3}" id="{C9849B61-CB8C-4D4F-8D18-AC76BF2183A3}">
    <text>矛盾指摘はできているがその後の説明が強引</text>
  </threadedComment>
  <threadedComment ref="I13" dT="2026-03-05T00:00:35.27" personId="{AE73240C-4753-4905-930E-A717DEDBF2D3}" id="{3130619D-2C55-D149-9CE1-7956D03B0FBD}">
    <text>最後に余計な説明あり</text>
  </threadedComment>
  <threadedComment ref="J13" dT="2026-03-04T23:58:58.15" personId="{AE73240C-4753-4905-930E-A717DEDBF2D3}" id="{932B336F-71A8-B24B-998C-892DDC24EA5F}">
    <text>矛盾指摘はできているがその後の説明が強引</text>
  </threadedComment>
  <threadedComment ref="J19" dT="2026-03-24T22:40:06.64" personId="{AE73240C-4753-4905-930E-A717DEDBF2D3}" id="{11523DEC-3D9E-194B-A28C-19E98DE7EEB4}">
    <text>説明がちょっとくどい</text>
  </threadedComment>
  <threadedComment ref="I38" dT="2026-02-25T23:47:44.43" personId="{AE73240C-4753-4905-930E-A717DEDBF2D3}" id="{CB738E21-0307-134A-9FFF-04CAEC6FA79E}">
    <text>矛盾指摘のあとに強引に回答する部分があるので減点</text>
  </threadedComment>
  <threadedComment ref="I39" dT="2026-02-25T23:47:51.81" personId="{AE73240C-4753-4905-930E-A717DEDBF2D3}" id="{79A56C1A-E5CF-584C-845D-DB305AD29AF7}">
    <text>矛盾指摘のあとに強引に回答する部分があるので減点</text>
  </threadedComment>
  <threadedComment ref="I40" dT="2026-02-25T23:47:51.81" personId="{AE73240C-4753-4905-930E-A717DEDBF2D3}" id="{1BB84EC4-43BE-7C49-BC8A-87370BB7D609}">
    <text>矛盾指摘のあとに強引に回答する部分があるので減点</text>
  </threadedComment>
  <threadedComment ref="J41" dT="2026-02-25T23:47:51.81" personId="{AE73240C-4753-4905-930E-A717DEDBF2D3}" id="{8F88C327-DB85-644D-A475-1928A28EE74F}">
    <text>矛盾指摘のあとに強引に回答する部分があるので減点</text>
  </threadedComment>
  <threadedComment ref="J42" dT="2026-03-04T23:46:10.95" personId="{AE73240C-4753-4905-930E-A717DEDBF2D3}" id="{E849251D-D27E-D44D-B2B5-4902D552FED4}">
    <text>強引な最後の回答で減点４を無視して１２３で回答</text>
  </threadedComment>
  <threadedComment ref="M42" dT="2026-03-04T23:47:42.02" personId="{AE73240C-4753-4905-930E-A717DEDBF2D3}" id="{3AAA0895-2520-5B4C-9A08-754BCF373DC3}">
    <text>西南と回答ただしカッコ内に南西を書いているので０．９５</text>
  </threadedComment>
  <threadedComment ref="I43" dT="2026-03-04T23:59:22.84" personId="{AE73240C-4753-4905-930E-A717DEDBF2D3}" id="{BEC3CA10-7493-B346-8576-DC8A056D3DFE}">
    <text>最後にマイナスの重量を見せている</text>
  </threadedComment>
  <threadedComment ref="J43" dT="2026-03-04T23:58:58.15" personId="{AE73240C-4753-4905-930E-A717DEDBF2D3}" id="{104CDCE1-CB9A-8D46-875A-7026A7E0015D}">
    <text>矛盾指摘はできているがその後の説明が強引</text>
  </threadedComment>
  <threadedComment ref="J44" dT="2026-03-04T23:58:58.15" personId="{AE73240C-4753-4905-930E-A717DEDBF2D3}" id="{25243613-EF6D-9940-B9B2-D9B1458B9ADC}">
    <text>矛盾指摘はできているがその後の説明が強引</text>
  </threadedComment>
  <threadedComment ref="I45" dT="2026-03-05T00:00:35.27" personId="{AE73240C-4753-4905-930E-A717DEDBF2D3}" id="{8D725C7A-4E8A-AA47-9C1D-7155306574D4}">
    <text>最後に余計な説明あり</text>
  </threadedComment>
  <threadedComment ref="J45" dT="2026-03-05T00:01:28.89" personId="{AE73240C-4753-4905-930E-A717DEDBF2D3}" id="{01629C3B-A691-6D44-8377-3E3F645309F6}">
    <text>矛盾指摘が少しわかりずらかった</text>
  </threadedComment>
  <threadedComment ref="L45" dT="2026-03-05T00:07:20.76" personId="{AE73240C-4753-4905-930E-A717DEDBF2D3}" id="{3CD3A6D5-DF9E-EF4D-A37A-65070F8F850C}">
    <text>ノンアルで割引可否が判断できていない</text>
  </threadedComment>
  <threadedComment ref="I46" dT="2026-03-05T00:00:35.27" personId="{AE73240C-4753-4905-930E-A717DEDBF2D3}" id="{84941F85-F6E3-4943-9852-E381F46C4A45}">
    <text>最後に余計な説明あり</text>
  </threadedComment>
  <threadedComment ref="J46" dT="2026-03-04T23:58:58.15" personId="{AE73240C-4753-4905-930E-A717DEDBF2D3}" id="{A64BB5C1-2E2C-994C-BE2A-262984AD2148}">
    <text>矛盾指摘はできているがその後の説明が強引</text>
  </threadedComment>
  <threadedComment ref="I47" dT="2026-03-05T00:00:35.27" personId="{AE73240C-4753-4905-930E-A717DEDBF2D3}" id="{FFC05816-8F11-7F45-893E-8FD2CE2D75C0}">
    <text>最後に余計な説明あり</text>
  </threadedComment>
  <threadedComment ref="J47" dT="2026-03-04T23:58:58.15" personId="{AE73240C-4753-4905-930E-A717DEDBF2D3}" id="{E95F88D8-3C92-0B48-9508-41C30E5ACBEA}">
    <text>矛盾指摘はできているがその後の説明が強引</text>
  </threadedComment>
  <threadedComment ref="J48" dT="2026-03-17T00:04:17.89" personId="{AE73240C-4753-4905-930E-A717DEDBF2D3}" id="{B51CA893-3618-F640-823F-64219681787C}">
    <text>矛盾指摘らしきはでているがだめ</text>
  </threadedComment>
  <threadedComment ref="M48" dT="2026-03-17T00:08:05.98" personId="{AE73240C-4753-4905-930E-A717DEDBF2D3}" id="{304D96D2-5295-964A-B959-6D320319B81C}">
    <text>西南で逆なので</text>
  </threadedComment>
  <threadedComment ref="G49" dT="2026-03-16T23:46:58.69" personId="{AE73240C-4753-4905-930E-A717DEDBF2D3}" id="{0DCD620B-9C79-8D4E-A505-444170774611}">
    <text xml:space="preserve">回答はあっているが時間はめちゃクヤ
</text>
  </threadedComment>
  <threadedComment ref="I49" dT="2026-03-16T23:49:33.31" personId="{AE73240C-4753-4905-930E-A717DEDBF2D3}" id="{E955D8FF-8DBC-344C-B2D0-2A5506C35F38}">
    <text>矛盾は間接的に指摘</text>
  </threadedComment>
  <threadedComment ref="M51" dT="2026-03-17T00:08:05.98" personId="{AE73240C-4753-4905-930E-A717DEDBF2D3}" id="{77C78F07-814A-9849-BA41-552A5BB152D5}">
    <text>西南で逆なので</text>
  </threadedComment>
  <threadedComment ref="J52" dT="2026-03-05T00:01:28.89" personId="{AE73240C-4753-4905-930E-A717DEDBF2D3}" id="{4B1F8FFE-812E-6445-82C9-49EBC6778341}">
    <text>矛盾指摘が少しわかりずらかった</text>
  </threadedComment>
  <threadedComment ref="G54" dT="2026-03-17T22:13:48.66" personId="{AE73240C-4753-4905-930E-A717DEDBF2D3}" id="{AF2A99F4-383C-3A42-964B-6603D5C5FD46}">
    <text>正解、不正解とあるため</text>
  </threadedComment>
  <threadedComment ref="I54" dT="2026-03-16T23:49:33.31" personId="{AE73240C-4753-4905-930E-A717DEDBF2D3}" id="{14CF170E-FFF1-9C45-88E1-50AECEBC141C}">
    <text>矛盾は間接的に指摘</text>
  </threadedComment>
  <threadedComment ref="J54" dT="2026-03-17T00:04:17.89" personId="{AE73240C-4753-4905-930E-A717DEDBF2D3}" id="{9C9209E9-DD36-D048-A7F8-765A1DDB80CF}">
    <text>矛盾指摘らしきはでているがだめ</text>
  </threadedComment>
  <threadedComment ref="J55" dT="2026-03-17T00:04:17.89" personId="{AE73240C-4753-4905-930E-A717DEDBF2D3}" id="{6A587F05-4420-564F-AF47-7C56741CA698}">
    <text>矛盾指摘らしきはでているがだめ</text>
  </threadedComment>
  <threadedComment ref="I56" dT="2026-03-05T00:00:35.27" personId="{AE73240C-4753-4905-930E-A717DEDBF2D3}" id="{174D4E00-809C-D343-BBBB-789A0D1705C6}">
    <text>最後に余計な説明あり</text>
  </threadedComment>
  <threadedComment ref="J56" dT="2026-03-17T00:04:17.89" personId="{AE73240C-4753-4905-930E-A717DEDBF2D3}" id="{564209B8-4B4C-EC44-8C82-C966278BAE01}">
    <text>矛盾指摘らしきはでているがだめ</text>
  </threadedComment>
  <threadedComment ref="I57" dT="2026-03-05T00:00:35.27" personId="{AE73240C-4753-4905-930E-A717DEDBF2D3}" id="{391DCF1A-4D8E-AC46-ABB0-1685F0DB0FCC}">
    <text>最後に余計な説明あり</text>
  </threadedComment>
  <threadedComment ref="I62" dT="2026-03-05T00:00:35.27" personId="{AE73240C-4753-4905-930E-A717DEDBF2D3}" id="{33F1E898-4E61-BC47-A3C5-6157B14E3357}">
    <text>最後に余計な説明あり</text>
  </threadedComment>
  <threadedComment ref="M62" dT="2026-03-17T00:08:05.98" personId="{AE73240C-4753-4905-930E-A717DEDBF2D3}" id="{21B8A51D-5D64-4C45-99CD-FB36C81A0BBE}">
    <text>西南でカッコで逆なので減点</text>
  </threadedComment>
  <threadedComment ref="I65" dT="2026-03-05T00:00:35.27" personId="{AE73240C-4753-4905-930E-A717DEDBF2D3}" id="{B34A7D70-811E-8747-8A21-6C9DA2923F7C}">
    <text>最後に余計な説明あり</text>
  </threadedComment>
  <threadedComment ref="J65" dT="2026-03-04T23:58:58.15" personId="{AE73240C-4753-4905-930E-A717DEDBF2D3}" id="{1A2E6EE0-A0A5-3947-98D4-2A2D6194200B}">
    <text>矛盾指摘はできているがその後の説明が強引</text>
  </threadedComment>
  <threadedComment ref="M65" dT="2026-03-17T00:08:05.98" personId="{AE73240C-4753-4905-930E-A717DEDBF2D3}" id="{1F529234-6148-9A49-9BC5-0649D5053E09}">
    <text>西南で逆なので</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Chat@Web" TargetMode="External"/><Relationship Id="rId7" Type="http://schemas.openxmlformats.org/officeDocument/2006/relationships/hyperlink" Target="mailto:Chat@Web" TargetMode="External"/><Relationship Id="rId2" Type="http://schemas.openxmlformats.org/officeDocument/2006/relationships/hyperlink" Target="mailto:Chat@Web" TargetMode="External"/><Relationship Id="rId1" Type="http://schemas.openxmlformats.org/officeDocument/2006/relationships/hyperlink" Target="mailto:ChatGPT@web" TargetMode="External"/><Relationship Id="rId6" Type="http://schemas.openxmlformats.org/officeDocument/2006/relationships/hyperlink" Target="mailto:Chat@Web" TargetMode="External"/><Relationship Id="rId11" Type="http://schemas.microsoft.com/office/2017/10/relationships/threadedComment" Target="../threadedComments/threadedComment1.xml"/><Relationship Id="rId5" Type="http://schemas.openxmlformats.org/officeDocument/2006/relationships/hyperlink" Target="mailto:Chat@Web" TargetMode="External"/><Relationship Id="rId10" Type="http://schemas.openxmlformats.org/officeDocument/2006/relationships/comments" Target="../comments1.xml"/><Relationship Id="rId4" Type="http://schemas.openxmlformats.org/officeDocument/2006/relationships/hyperlink" Target="mailto:Chat@Web"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Chat@Web" TargetMode="External"/><Relationship Id="rId7" Type="http://schemas.openxmlformats.org/officeDocument/2006/relationships/vmlDrawing" Target="../drawings/vmlDrawing2.vml"/><Relationship Id="rId2" Type="http://schemas.openxmlformats.org/officeDocument/2006/relationships/hyperlink" Target="mailto:Chat@Web" TargetMode="External"/><Relationship Id="rId1" Type="http://schemas.openxmlformats.org/officeDocument/2006/relationships/hyperlink" Target="mailto:ChatGPT@web" TargetMode="External"/><Relationship Id="rId6" Type="http://schemas.openxmlformats.org/officeDocument/2006/relationships/printerSettings" Target="../printerSettings/printerSettings3.bin"/><Relationship Id="rId5" Type="http://schemas.openxmlformats.org/officeDocument/2006/relationships/hyperlink" Target="mailto:Chat@Web" TargetMode="External"/><Relationship Id="rId4" Type="http://schemas.openxmlformats.org/officeDocument/2006/relationships/hyperlink" Target="mailto:Chat@Web" TargetMode="External"/><Relationship Id="rId9"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7BE54-245F-4E10-8F88-00F81CC213A4}">
  <dimension ref="A1:U80"/>
  <sheetViews>
    <sheetView tabSelected="1" topLeftCell="A61" zoomScale="150" zoomScaleNormal="85" workbookViewId="0">
      <selection activeCell="C79" sqref="C79:D80"/>
    </sheetView>
  </sheetViews>
  <sheetFormatPr baseColWidth="10" defaultColWidth="8.5" defaultRowHeight="14"/>
  <cols>
    <col min="3" max="3" width="14.1640625" bestFit="1" customWidth="1"/>
    <col min="4" max="4" width="36" customWidth="1"/>
    <col min="5" max="5" width="8" style="4" customWidth="1"/>
    <col min="6" max="7" width="10" style="5" customWidth="1"/>
    <col min="8" max="17" width="7" customWidth="1"/>
    <col min="19" max="19" width="19.83203125" customWidth="1"/>
  </cols>
  <sheetData>
    <row r="1" spans="1:20">
      <c r="A1" s="6" t="s">
        <v>38</v>
      </c>
      <c r="B1" s="6" t="s">
        <v>61</v>
      </c>
      <c r="C1" s="6" t="s">
        <v>62</v>
      </c>
      <c r="D1" s="1" t="s">
        <v>44</v>
      </c>
      <c r="E1" s="2" t="s">
        <v>43</v>
      </c>
      <c r="F1" s="3" t="s">
        <v>0</v>
      </c>
      <c r="G1" s="3" t="s">
        <v>118</v>
      </c>
      <c r="H1" s="1" t="s">
        <v>1</v>
      </c>
      <c r="I1" s="1" t="s">
        <v>2</v>
      </c>
      <c r="J1" s="1" t="s">
        <v>3</v>
      </c>
      <c r="K1" s="1" t="s">
        <v>4</v>
      </c>
      <c r="L1" s="1" t="s">
        <v>5</v>
      </c>
      <c r="M1" s="1" t="s">
        <v>6</v>
      </c>
      <c r="N1" s="1" t="s">
        <v>7</v>
      </c>
      <c r="O1" s="1" t="s">
        <v>8</v>
      </c>
      <c r="P1" s="1" t="s">
        <v>9</v>
      </c>
      <c r="Q1" s="1" t="s">
        <v>10</v>
      </c>
      <c r="R1" s="1" t="s">
        <v>11</v>
      </c>
      <c r="S1" s="6" t="s">
        <v>12</v>
      </c>
      <c r="T1" s="7" t="s">
        <v>115</v>
      </c>
    </row>
    <row r="2" spans="1:20">
      <c r="A2" s="6">
        <v>1</v>
      </c>
      <c r="B2" s="6" t="s">
        <v>63</v>
      </c>
      <c r="C2" s="6" t="s">
        <v>70</v>
      </c>
      <c r="D2" s="6" t="s">
        <v>45</v>
      </c>
      <c r="E2" s="8">
        <v>1.7</v>
      </c>
      <c r="F2" s="9" t="s">
        <v>13</v>
      </c>
      <c r="G2" s="9" t="s">
        <v>13</v>
      </c>
      <c r="H2" s="10">
        <v>0</v>
      </c>
      <c r="I2" s="10">
        <v>1</v>
      </c>
      <c r="J2" s="10">
        <v>0</v>
      </c>
      <c r="K2" s="10">
        <v>0</v>
      </c>
      <c r="L2" s="10">
        <v>1</v>
      </c>
      <c r="M2" s="10">
        <v>0</v>
      </c>
      <c r="N2" s="10">
        <v>0</v>
      </c>
      <c r="O2" s="10">
        <v>0</v>
      </c>
      <c r="P2" s="10">
        <v>1</v>
      </c>
      <c r="Q2" s="10">
        <v>1</v>
      </c>
      <c r="R2" s="11">
        <f t="shared" ref="R2:R33" si="0">SUM(H2:Q2)</f>
        <v>4</v>
      </c>
      <c r="S2" s="6" t="s">
        <v>105</v>
      </c>
      <c r="T2" s="7" t="s">
        <v>106</v>
      </c>
    </row>
    <row r="3" spans="1:20">
      <c r="A3" s="6">
        <v>2</v>
      </c>
      <c r="B3" s="6" t="s">
        <v>63</v>
      </c>
      <c r="C3" s="6" t="s">
        <v>70</v>
      </c>
      <c r="D3" s="6" t="s">
        <v>45</v>
      </c>
      <c r="E3" s="8">
        <v>1.7</v>
      </c>
      <c r="F3" s="9" t="s">
        <v>14</v>
      </c>
      <c r="G3" s="9" t="s">
        <v>14</v>
      </c>
      <c r="H3" s="10">
        <v>0</v>
      </c>
      <c r="I3" s="10">
        <v>1</v>
      </c>
      <c r="J3" s="10">
        <v>0.9</v>
      </c>
      <c r="K3" s="10">
        <v>1</v>
      </c>
      <c r="L3" s="10">
        <v>1</v>
      </c>
      <c r="M3" s="10">
        <v>1</v>
      </c>
      <c r="N3" s="10">
        <v>0.9</v>
      </c>
      <c r="O3" s="10">
        <v>0</v>
      </c>
      <c r="P3" s="10">
        <v>1</v>
      </c>
      <c r="Q3" s="10">
        <v>1</v>
      </c>
      <c r="R3" s="11">
        <f t="shared" si="0"/>
        <v>7.8000000000000007</v>
      </c>
      <c r="S3" s="6" t="s">
        <v>105</v>
      </c>
      <c r="T3" s="7" t="s">
        <v>106</v>
      </c>
    </row>
    <row r="4" spans="1:20">
      <c r="A4" s="6">
        <v>3</v>
      </c>
      <c r="B4" s="6" t="s">
        <v>63</v>
      </c>
      <c r="C4" s="6" t="s">
        <v>70</v>
      </c>
      <c r="D4" s="6" t="s">
        <v>46</v>
      </c>
      <c r="E4" s="8">
        <v>4</v>
      </c>
      <c r="F4" s="9" t="s">
        <v>13</v>
      </c>
      <c r="G4" s="9" t="s">
        <v>13</v>
      </c>
      <c r="H4" s="10">
        <v>1</v>
      </c>
      <c r="I4" s="10">
        <v>1</v>
      </c>
      <c r="J4" s="10">
        <v>0.9</v>
      </c>
      <c r="K4" s="10">
        <v>0.75</v>
      </c>
      <c r="L4" s="10">
        <v>1</v>
      </c>
      <c r="M4" s="10">
        <v>1</v>
      </c>
      <c r="N4" s="10">
        <v>0.9</v>
      </c>
      <c r="O4" s="10">
        <v>0.9</v>
      </c>
      <c r="P4" s="10">
        <v>1</v>
      </c>
      <c r="Q4" s="10">
        <v>1</v>
      </c>
      <c r="R4" s="11">
        <f t="shared" si="0"/>
        <v>9.4500000000000011</v>
      </c>
      <c r="S4" s="6" t="s">
        <v>105</v>
      </c>
      <c r="T4" s="7" t="s">
        <v>106</v>
      </c>
    </row>
    <row r="5" spans="1:20">
      <c r="A5" s="6">
        <v>4</v>
      </c>
      <c r="B5" s="6" t="s">
        <v>63</v>
      </c>
      <c r="C5" s="6" t="s">
        <v>70</v>
      </c>
      <c r="D5" s="6" t="s">
        <v>46</v>
      </c>
      <c r="E5" s="8">
        <v>4</v>
      </c>
      <c r="F5" s="9" t="s">
        <v>14</v>
      </c>
      <c r="G5" s="9" t="s">
        <v>14</v>
      </c>
      <c r="H5" s="10">
        <v>1</v>
      </c>
      <c r="I5" s="10">
        <v>1</v>
      </c>
      <c r="J5" s="10">
        <v>0.9</v>
      </c>
      <c r="K5" s="10">
        <v>1</v>
      </c>
      <c r="L5" s="10">
        <v>1</v>
      </c>
      <c r="M5" s="10">
        <v>1</v>
      </c>
      <c r="N5" s="10">
        <v>1</v>
      </c>
      <c r="O5" s="10">
        <v>0</v>
      </c>
      <c r="P5" s="10">
        <v>1</v>
      </c>
      <c r="Q5" s="10">
        <v>1</v>
      </c>
      <c r="R5" s="11">
        <f t="shared" si="0"/>
        <v>8.9</v>
      </c>
      <c r="S5" s="6" t="s">
        <v>105</v>
      </c>
      <c r="T5" s="7" t="s">
        <v>106</v>
      </c>
    </row>
    <row r="6" spans="1:20">
      <c r="A6" s="6">
        <v>5</v>
      </c>
      <c r="B6" s="6" t="s">
        <v>63</v>
      </c>
      <c r="C6" s="6" t="s">
        <v>70</v>
      </c>
      <c r="D6" s="6" t="s">
        <v>47</v>
      </c>
      <c r="E6" s="8">
        <v>8</v>
      </c>
      <c r="F6" s="9" t="s">
        <v>13</v>
      </c>
      <c r="G6" s="9" t="s">
        <v>13</v>
      </c>
      <c r="H6" s="10">
        <v>0</v>
      </c>
      <c r="I6" s="10">
        <v>1</v>
      </c>
      <c r="J6" s="10">
        <v>1</v>
      </c>
      <c r="K6" s="10">
        <v>1</v>
      </c>
      <c r="L6" s="10">
        <v>1</v>
      </c>
      <c r="M6" s="10">
        <v>1</v>
      </c>
      <c r="N6" s="10">
        <v>0.9</v>
      </c>
      <c r="O6" s="10">
        <v>0</v>
      </c>
      <c r="P6" s="10">
        <v>1</v>
      </c>
      <c r="Q6" s="10">
        <v>1</v>
      </c>
      <c r="R6" s="11">
        <f t="shared" si="0"/>
        <v>7.9</v>
      </c>
      <c r="S6" s="6" t="s">
        <v>105</v>
      </c>
      <c r="T6" s="7" t="s">
        <v>106</v>
      </c>
    </row>
    <row r="7" spans="1:20">
      <c r="A7" s="6">
        <v>6</v>
      </c>
      <c r="B7" s="6" t="s">
        <v>63</v>
      </c>
      <c r="C7" s="6" t="s">
        <v>70</v>
      </c>
      <c r="D7" s="6" t="s">
        <v>47</v>
      </c>
      <c r="E7" s="8">
        <v>8</v>
      </c>
      <c r="F7" s="9" t="s">
        <v>14</v>
      </c>
      <c r="G7" s="9" t="s">
        <v>14</v>
      </c>
      <c r="H7" s="10">
        <v>0.9</v>
      </c>
      <c r="I7" s="10">
        <v>1</v>
      </c>
      <c r="J7" s="10">
        <v>1</v>
      </c>
      <c r="K7" s="10">
        <v>1</v>
      </c>
      <c r="L7" s="10">
        <v>1</v>
      </c>
      <c r="M7" s="10">
        <v>1</v>
      </c>
      <c r="N7" s="10">
        <v>0.9</v>
      </c>
      <c r="O7" s="10">
        <v>0</v>
      </c>
      <c r="P7" s="10">
        <v>1</v>
      </c>
      <c r="Q7" s="10">
        <v>1</v>
      </c>
      <c r="R7" s="11">
        <f t="shared" si="0"/>
        <v>8.8000000000000007</v>
      </c>
      <c r="S7" s="6" t="s">
        <v>105</v>
      </c>
      <c r="T7" s="7" t="s">
        <v>106</v>
      </c>
    </row>
    <row r="8" spans="1:20">
      <c r="A8" s="6">
        <v>7</v>
      </c>
      <c r="B8" s="6" t="s">
        <v>63</v>
      </c>
      <c r="C8" s="6" t="s">
        <v>70</v>
      </c>
      <c r="D8" s="6" t="s">
        <v>48</v>
      </c>
      <c r="E8" s="8">
        <v>14</v>
      </c>
      <c r="F8" s="9" t="s">
        <v>13</v>
      </c>
      <c r="G8" s="9" t="s">
        <v>13</v>
      </c>
      <c r="H8" s="10">
        <v>0</v>
      </c>
      <c r="I8" s="10">
        <v>1</v>
      </c>
      <c r="J8" s="10">
        <v>1</v>
      </c>
      <c r="K8" s="10">
        <v>0</v>
      </c>
      <c r="L8" s="10">
        <v>1</v>
      </c>
      <c r="M8" s="10">
        <v>0</v>
      </c>
      <c r="N8" s="10">
        <v>0.9</v>
      </c>
      <c r="O8" s="10">
        <v>1</v>
      </c>
      <c r="P8" s="10">
        <v>1</v>
      </c>
      <c r="Q8" s="10">
        <v>1</v>
      </c>
      <c r="R8" s="11">
        <f t="shared" si="0"/>
        <v>6.9</v>
      </c>
      <c r="S8" s="6" t="s">
        <v>105</v>
      </c>
      <c r="T8" s="7" t="s">
        <v>106</v>
      </c>
    </row>
    <row r="9" spans="1:20">
      <c r="A9" s="6">
        <v>8</v>
      </c>
      <c r="B9" s="6" t="s">
        <v>63</v>
      </c>
      <c r="C9" s="6" t="s">
        <v>70</v>
      </c>
      <c r="D9" s="6" t="s">
        <v>48</v>
      </c>
      <c r="E9" s="8">
        <v>14</v>
      </c>
      <c r="F9" s="9" t="s">
        <v>14</v>
      </c>
      <c r="G9" s="9" t="s">
        <v>14</v>
      </c>
      <c r="H9" s="10">
        <v>1</v>
      </c>
      <c r="I9" s="10">
        <v>1</v>
      </c>
      <c r="J9" s="10">
        <v>0.9</v>
      </c>
      <c r="K9" s="10">
        <v>1</v>
      </c>
      <c r="L9" s="10">
        <v>1</v>
      </c>
      <c r="M9" s="10">
        <v>1</v>
      </c>
      <c r="N9" s="10">
        <v>0.9</v>
      </c>
      <c r="O9" s="10">
        <v>0.9</v>
      </c>
      <c r="P9" s="10">
        <v>1</v>
      </c>
      <c r="Q9" s="10">
        <v>1</v>
      </c>
      <c r="R9" s="11">
        <f t="shared" si="0"/>
        <v>9.7000000000000011</v>
      </c>
      <c r="S9" s="6" t="s">
        <v>105</v>
      </c>
      <c r="T9" s="7" t="s">
        <v>106</v>
      </c>
    </row>
    <row r="10" spans="1:20">
      <c r="A10" s="6">
        <v>9</v>
      </c>
      <c r="B10" s="6" t="s">
        <v>63</v>
      </c>
      <c r="C10" s="6" t="s">
        <v>70</v>
      </c>
      <c r="D10" s="6" t="s">
        <v>49</v>
      </c>
      <c r="E10" s="8">
        <v>30</v>
      </c>
      <c r="F10" s="9" t="s">
        <v>13</v>
      </c>
      <c r="G10" s="9" t="s">
        <v>13</v>
      </c>
      <c r="H10" s="10">
        <v>1</v>
      </c>
      <c r="I10" s="10">
        <v>1</v>
      </c>
      <c r="J10" s="10">
        <v>0.75</v>
      </c>
      <c r="K10" s="10">
        <v>0</v>
      </c>
      <c r="L10" s="10">
        <v>1</v>
      </c>
      <c r="M10" s="10">
        <v>1</v>
      </c>
      <c r="N10" s="10">
        <v>0</v>
      </c>
      <c r="O10" s="10">
        <v>1</v>
      </c>
      <c r="P10" s="10">
        <v>1</v>
      </c>
      <c r="Q10" s="10">
        <v>1</v>
      </c>
      <c r="R10" s="11">
        <f t="shared" si="0"/>
        <v>7.75</v>
      </c>
      <c r="S10" s="6" t="s">
        <v>105</v>
      </c>
      <c r="T10" s="7" t="s">
        <v>106</v>
      </c>
    </row>
    <row r="11" spans="1:20">
      <c r="A11" s="6">
        <v>10</v>
      </c>
      <c r="B11" s="6" t="s">
        <v>63</v>
      </c>
      <c r="C11" s="6" t="s">
        <v>70</v>
      </c>
      <c r="D11" s="6" t="s">
        <v>49</v>
      </c>
      <c r="E11" s="8">
        <v>30</v>
      </c>
      <c r="F11" s="9" t="s">
        <v>14</v>
      </c>
      <c r="G11" s="9" t="s">
        <v>14</v>
      </c>
      <c r="H11" s="10">
        <v>0</v>
      </c>
      <c r="I11" s="10">
        <v>1</v>
      </c>
      <c r="J11" s="10">
        <v>0</v>
      </c>
      <c r="K11" s="10">
        <v>1</v>
      </c>
      <c r="L11" s="10">
        <v>1</v>
      </c>
      <c r="M11" s="10">
        <v>1</v>
      </c>
      <c r="N11" s="10">
        <v>0.9</v>
      </c>
      <c r="O11" s="10">
        <v>0</v>
      </c>
      <c r="P11" s="10">
        <v>1</v>
      </c>
      <c r="Q11" s="10">
        <v>1</v>
      </c>
      <c r="R11" s="11">
        <f t="shared" si="0"/>
        <v>6.9</v>
      </c>
      <c r="S11" s="6" t="s">
        <v>105</v>
      </c>
      <c r="T11" s="7" t="s">
        <v>106</v>
      </c>
    </row>
    <row r="12" spans="1:20">
      <c r="A12" s="6">
        <v>11</v>
      </c>
      <c r="B12" s="6" t="s">
        <v>63</v>
      </c>
      <c r="C12" s="6" t="s">
        <v>70</v>
      </c>
      <c r="D12" s="6" t="s">
        <v>50</v>
      </c>
      <c r="E12" s="8">
        <v>32</v>
      </c>
      <c r="F12" s="9" t="s">
        <v>13</v>
      </c>
      <c r="G12" s="9" t="s">
        <v>13</v>
      </c>
      <c r="H12" s="10">
        <v>0</v>
      </c>
      <c r="I12" s="10">
        <v>1</v>
      </c>
      <c r="J12" s="10">
        <v>1</v>
      </c>
      <c r="K12" s="10">
        <v>0</v>
      </c>
      <c r="L12" s="10">
        <v>1</v>
      </c>
      <c r="M12" s="10">
        <v>1</v>
      </c>
      <c r="N12" s="10">
        <v>0.9</v>
      </c>
      <c r="O12" s="10">
        <v>1</v>
      </c>
      <c r="P12" s="10">
        <v>1</v>
      </c>
      <c r="Q12" s="10">
        <v>1</v>
      </c>
      <c r="R12" s="11">
        <f t="shared" si="0"/>
        <v>7.9</v>
      </c>
      <c r="S12" s="6" t="s">
        <v>105</v>
      </c>
      <c r="T12" s="7" t="s">
        <v>106</v>
      </c>
    </row>
    <row r="13" spans="1:20">
      <c r="A13" s="6">
        <v>12</v>
      </c>
      <c r="B13" s="6" t="s">
        <v>63</v>
      </c>
      <c r="C13" s="6" t="s">
        <v>70</v>
      </c>
      <c r="D13" s="6" t="s">
        <v>50</v>
      </c>
      <c r="E13" s="8">
        <v>32</v>
      </c>
      <c r="F13" s="9" t="s">
        <v>14</v>
      </c>
      <c r="G13" s="9" t="s">
        <v>14</v>
      </c>
      <c r="H13" s="10">
        <v>1</v>
      </c>
      <c r="I13" s="10">
        <v>1</v>
      </c>
      <c r="J13" s="10">
        <v>0.5</v>
      </c>
      <c r="K13" s="10">
        <v>0.9</v>
      </c>
      <c r="L13" s="10">
        <v>1</v>
      </c>
      <c r="M13" s="10">
        <v>1</v>
      </c>
      <c r="N13" s="10">
        <v>0</v>
      </c>
      <c r="O13" s="10">
        <v>1</v>
      </c>
      <c r="P13" s="10">
        <v>1</v>
      </c>
      <c r="Q13" s="10">
        <v>1</v>
      </c>
      <c r="R13" s="11">
        <f t="shared" si="0"/>
        <v>8.4</v>
      </c>
      <c r="S13" s="6" t="s">
        <v>105</v>
      </c>
      <c r="T13" s="7" t="s">
        <v>106</v>
      </c>
    </row>
    <row r="14" spans="1:20">
      <c r="A14" s="6">
        <v>13</v>
      </c>
      <c r="B14" s="6" t="s">
        <v>64</v>
      </c>
      <c r="C14" s="6" t="s">
        <v>69</v>
      </c>
      <c r="D14" s="6" t="s">
        <v>51</v>
      </c>
      <c r="E14" s="8">
        <v>20</v>
      </c>
      <c r="F14" s="9" t="s">
        <v>14</v>
      </c>
      <c r="G14" s="9" t="s">
        <v>15</v>
      </c>
      <c r="H14" s="10">
        <v>1</v>
      </c>
      <c r="I14" s="10">
        <v>1</v>
      </c>
      <c r="J14" s="10">
        <v>1</v>
      </c>
      <c r="K14" s="10">
        <v>1</v>
      </c>
      <c r="L14" s="10">
        <v>1</v>
      </c>
      <c r="M14" s="10">
        <v>0</v>
      </c>
      <c r="N14" s="10">
        <v>1</v>
      </c>
      <c r="O14" s="10">
        <v>1</v>
      </c>
      <c r="P14" s="10">
        <v>1</v>
      </c>
      <c r="Q14" s="10">
        <v>1</v>
      </c>
      <c r="R14" s="11">
        <f t="shared" si="0"/>
        <v>9</v>
      </c>
      <c r="S14" s="6" t="s">
        <v>105</v>
      </c>
      <c r="T14" s="7" t="s">
        <v>106</v>
      </c>
    </row>
    <row r="15" spans="1:20">
      <c r="A15" s="6">
        <v>14</v>
      </c>
      <c r="B15" s="6" t="s">
        <v>64</v>
      </c>
      <c r="C15" s="6" t="s">
        <v>69</v>
      </c>
      <c r="D15" s="6" t="s">
        <v>52</v>
      </c>
      <c r="E15" s="8">
        <v>20</v>
      </c>
      <c r="F15" s="9" t="s">
        <v>14</v>
      </c>
      <c r="G15" s="9" t="s">
        <v>16</v>
      </c>
      <c r="H15" s="10">
        <v>0.9</v>
      </c>
      <c r="I15" s="10">
        <v>1</v>
      </c>
      <c r="J15" s="10">
        <v>0.25</v>
      </c>
      <c r="K15" s="10">
        <v>1</v>
      </c>
      <c r="L15" s="10">
        <v>1</v>
      </c>
      <c r="M15" s="10">
        <v>1</v>
      </c>
      <c r="N15" s="10">
        <v>1</v>
      </c>
      <c r="O15" s="10">
        <v>1</v>
      </c>
      <c r="P15" s="10">
        <v>1</v>
      </c>
      <c r="Q15" s="10">
        <v>1</v>
      </c>
      <c r="R15" s="11">
        <f t="shared" si="0"/>
        <v>9.15</v>
      </c>
      <c r="S15" s="6" t="s">
        <v>105</v>
      </c>
      <c r="T15" s="7" t="s">
        <v>106</v>
      </c>
    </row>
    <row r="16" spans="1:20">
      <c r="A16" s="6">
        <v>15</v>
      </c>
      <c r="B16" s="6" t="s">
        <v>64</v>
      </c>
      <c r="C16" s="6" t="s">
        <v>69</v>
      </c>
      <c r="D16" s="6" t="s">
        <v>53</v>
      </c>
      <c r="E16" s="8">
        <v>20</v>
      </c>
      <c r="F16" s="9" t="s">
        <v>14</v>
      </c>
      <c r="G16" s="9" t="s">
        <v>17</v>
      </c>
      <c r="H16" s="10">
        <v>0</v>
      </c>
      <c r="I16" s="10">
        <v>1</v>
      </c>
      <c r="J16" s="10">
        <v>0</v>
      </c>
      <c r="K16" s="10">
        <v>1</v>
      </c>
      <c r="L16" s="10">
        <v>0.9</v>
      </c>
      <c r="M16" s="10">
        <v>0</v>
      </c>
      <c r="N16" s="10">
        <v>0.9</v>
      </c>
      <c r="O16" s="10">
        <v>0</v>
      </c>
      <c r="P16" s="10">
        <v>1</v>
      </c>
      <c r="Q16" s="10">
        <v>1</v>
      </c>
      <c r="R16" s="11">
        <f t="shared" si="0"/>
        <v>5.8</v>
      </c>
      <c r="S16" s="6" t="s">
        <v>105</v>
      </c>
      <c r="T16" s="7" t="s">
        <v>106</v>
      </c>
    </row>
    <row r="17" spans="1:20">
      <c r="A17" s="6">
        <v>16</v>
      </c>
      <c r="B17" s="6" t="s">
        <v>63</v>
      </c>
      <c r="C17" s="6" t="s">
        <v>70</v>
      </c>
      <c r="D17" s="6" t="s">
        <v>54</v>
      </c>
      <c r="E17" s="8">
        <v>4</v>
      </c>
      <c r="F17" s="9" t="s">
        <v>13</v>
      </c>
      <c r="G17" s="9" t="s">
        <v>13</v>
      </c>
      <c r="H17" s="12">
        <v>0</v>
      </c>
      <c r="I17" s="12">
        <v>1</v>
      </c>
      <c r="J17" s="12">
        <v>0.9</v>
      </c>
      <c r="K17" s="12">
        <v>1</v>
      </c>
      <c r="L17" s="12">
        <v>1</v>
      </c>
      <c r="M17" s="12">
        <v>1</v>
      </c>
      <c r="N17" s="12">
        <v>0.9</v>
      </c>
      <c r="O17" s="12">
        <v>1</v>
      </c>
      <c r="P17" s="12">
        <v>1</v>
      </c>
      <c r="Q17" s="12">
        <v>1</v>
      </c>
      <c r="R17" s="13">
        <f t="shared" si="0"/>
        <v>8.8000000000000007</v>
      </c>
      <c r="S17" s="6" t="s">
        <v>105</v>
      </c>
      <c r="T17" s="7" t="s">
        <v>106</v>
      </c>
    </row>
    <row r="18" spans="1:20">
      <c r="A18" s="6">
        <v>17</v>
      </c>
      <c r="B18" s="6" t="s">
        <v>63</v>
      </c>
      <c r="C18" s="6" t="s">
        <v>70</v>
      </c>
      <c r="D18" s="6" t="s">
        <v>55</v>
      </c>
      <c r="E18" s="8">
        <v>4</v>
      </c>
      <c r="F18" s="9" t="s">
        <v>14</v>
      </c>
      <c r="G18" s="9" t="s">
        <v>14</v>
      </c>
      <c r="H18" s="12">
        <v>1</v>
      </c>
      <c r="I18" s="12">
        <v>1</v>
      </c>
      <c r="J18" s="12">
        <v>0</v>
      </c>
      <c r="K18" s="12">
        <v>1</v>
      </c>
      <c r="L18" s="12">
        <v>1</v>
      </c>
      <c r="M18" s="12">
        <v>1</v>
      </c>
      <c r="N18" s="12">
        <v>0.9</v>
      </c>
      <c r="O18" s="12">
        <v>0</v>
      </c>
      <c r="P18" s="12">
        <v>1</v>
      </c>
      <c r="Q18" s="12">
        <v>1</v>
      </c>
      <c r="R18" s="13">
        <f t="shared" si="0"/>
        <v>7.9</v>
      </c>
      <c r="S18" s="6" t="s">
        <v>105</v>
      </c>
      <c r="T18" s="7" t="s">
        <v>106</v>
      </c>
    </row>
    <row r="19" spans="1:20">
      <c r="A19" s="6">
        <v>18</v>
      </c>
      <c r="B19" s="6" t="s">
        <v>63</v>
      </c>
      <c r="C19" s="6" t="s">
        <v>70</v>
      </c>
      <c r="D19" s="6" t="s">
        <v>56</v>
      </c>
      <c r="E19" s="8">
        <v>30</v>
      </c>
      <c r="F19" s="9" t="s">
        <v>13</v>
      </c>
      <c r="G19" s="9" t="s">
        <v>13</v>
      </c>
      <c r="H19" s="12">
        <v>1</v>
      </c>
      <c r="I19" s="12">
        <v>1</v>
      </c>
      <c r="J19" s="12">
        <v>1</v>
      </c>
      <c r="K19" s="12">
        <v>0</v>
      </c>
      <c r="L19" s="12">
        <v>1</v>
      </c>
      <c r="M19" s="12">
        <v>1</v>
      </c>
      <c r="N19" s="12">
        <v>0.9</v>
      </c>
      <c r="O19" s="12">
        <v>1</v>
      </c>
      <c r="P19" s="12">
        <v>1</v>
      </c>
      <c r="Q19" s="12">
        <v>1</v>
      </c>
      <c r="R19" s="13">
        <f t="shared" si="0"/>
        <v>8.9</v>
      </c>
      <c r="S19" s="6" t="s">
        <v>105</v>
      </c>
      <c r="T19" s="7" t="s">
        <v>106</v>
      </c>
    </row>
    <row r="20" spans="1:20">
      <c r="A20" s="6">
        <v>19</v>
      </c>
      <c r="B20" s="6" t="s">
        <v>63</v>
      </c>
      <c r="C20" s="6" t="s">
        <v>70</v>
      </c>
      <c r="D20" s="6" t="s">
        <v>57</v>
      </c>
      <c r="E20" s="8">
        <v>30</v>
      </c>
      <c r="F20" s="9" t="s">
        <v>14</v>
      </c>
      <c r="G20" s="9" t="s">
        <v>14</v>
      </c>
      <c r="H20" s="12">
        <v>1</v>
      </c>
      <c r="I20" s="12">
        <v>1</v>
      </c>
      <c r="J20" s="12">
        <v>0</v>
      </c>
      <c r="K20" s="12">
        <v>0.75</v>
      </c>
      <c r="L20" s="12">
        <v>1</v>
      </c>
      <c r="M20" s="12">
        <v>1</v>
      </c>
      <c r="N20" s="12">
        <v>1</v>
      </c>
      <c r="O20" s="12">
        <v>1</v>
      </c>
      <c r="P20" s="12">
        <v>1</v>
      </c>
      <c r="Q20" s="12">
        <v>1</v>
      </c>
      <c r="R20" s="13">
        <f t="shared" si="0"/>
        <v>8.75</v>
      </c>
      <c r="S20" s="6" t="s">
        <v>105</v>
      </c>
      <c r="T20" s="7" t="s">
        <v>106</v>
      </c>
    </row>
    <row r="21" spans="1:20">
      <c r="A21" s="6">
        <v>20</v>
      </c>
      <c r="B21" s="6" t="s">
        <v>63</v>
      </c>
      <c r="C21" s="6" t="s">
        <v>71</v>
      </c>
      <c r="D21" s="6" t="s">
        <v>18</v>
      </c>
      <c r="E21" s="8">
        <v>2</v>
      </c>
      <c r="F21" s="9" t="s">
        <v>13</v>
      </c>
      <c r="G21" s="9" t="s">
        <v>13</v>
      </c>
      <c r="H21" s="12">
        <v>0</v>
      </c>
      <c r="I21" s="12">
        <v>0</v>
      </c>
      <c r="J21" s="12">
        <v>0</v>
      </c>
      <c r="K21" s="12">
        <v>0</v>
      </c>
      <c r="L21" s="12">
        <v>0</v>
      </c>
      <c r="M21" s="12">
        <v>0</v>
      </c>
      <c r="N21" s="12">
        <v>0</v>
      </c>
      <c r="O21" s="12">
        <v>1</v>
      </c>
      <c r="P21" s="12">
        <v>1</v>
      </c>
      <c r="Q21" s="12">
        <v>0</v>
      </c>
      <c r="R21" s="13">
        <f t="shared" si="0"/>
        <v>2</v>
      </c>
      <c r="S21" s="6" t="s">
        <v>39</v>
      </c>
      <c r="T21" s="7"/>
    </row>
    <row r="22" spans="1:20">
      <c r="A22" s="6">
        <v>21</v>
      </c>
      <c r="B22" s="6" t="s">
        <v>63</v>
      </c>
      <c r="C22" s="6" t="s">
        <v>71</v>
      </c>
      <c r="D22" s="6" t="s">
        <v>19</v>
      </c>
      <c r="E22" s="8">
        <v>4</v>
      </c>
      <c r="F22" s="9" t="s">
        <v>13</v>
      </c>
      <c r="G22" s="9" t="s">
        <v>13</v>
      </c>
      <c r="H22" s="12">
        <v>1</v>
      </c>
      <c r="I22" s="12">
        <v>1</v>
      </c>
      <c r="J22" s="12">
        <v>0.5</v>
      </c>
      <c r="K22" s="12">
        <v>0</v>
      </c>
      <c r="L22" s="12">
        <v>1</v>
      </c>
      <c r="M22" s="12">
        <v>0</v>
      </c>
      <c r="N22" s="12">
        <v>0.9</v>
      </c>
      <c r="O22" s="12">
        <v>0</v>
      </c>
      <c r="P22" s="12">
        <v>1</v>
      </c>
      <c r="Q22" s="12">
        <v>1</v>
      </c>
      <c r="R22" s="13">
        <f t="shared" si="0"/>
        <v>6.4</v>
      </c>
      <c r="S22" s="6" t="s">
        <v>39</v>
      </c>
      <c r="T22" s="7"/>
    </row>
    <row r="23" spans="1:20">
      <c r="A23" s="6">
        <v>22</v>
      </c>
      <c r="B23" s="6" t="s">
        <v>63</v>
      </c>
      <c r="C23" s="6" t="s">
        <v>71</v>
      </c>
      <c r="D23" s="6" t="s">
        <v>20</v>
      </c>
      <c r="E23" s="8">
        <v>8</v>
      </c>
      <c r="F23" s="9" t="s">
        <v>13</v>
      </c>
      <c r="G23" s="9" t="s">
        <v>13</v>
      </c>
      <c r="H23" s="12">
        <v>0</v>
      </c>
      <c r="I23" s="12">
        <v>1</v>
      </c>
      <c r="J23" s="12">
        <v>0.9</v>
      </c>
      <c r="K23" s="12">
        <v>0.75</v>
      </c>
      <c r="L23" s="12">
        <v>1</v>
      </c>
      <c r="M23" s="12">
        <v>1</v>
      </c>
      <c r="N23" s="12">
        <v>1</v>
      </c>
      <c r="O23" s="12">
        <v>0</v>
      </c>
      <c r="P23" s="12">
        <v>1</v>
      </c>
      <c r="Q23" s="12">
        <v>1</v>
      </c>
      <c r="R23" s="13">
        <f t="shared" si="0"/>
        <v>7.65</v>
      </c>
      <c r="S23" s="6" t="s">
        <v>39</v>
      </c>
      <c r="T23" s="7"/>
    </row>
    <row r="24" spans="1:20">
      <c r="A24" s="6">
        <v>23</v>
      </c>
      <c r="B24" s="6" t="s">
        <v>64</v>
      </c>
      <c r="C24" s="6" t="s">
        <v>40</v>
      </c>
      <c r="D24" s="6" t="s">
        <v>21</v>
      </c>
      <c r="E24" s="8" t="s">
        <v>22</v>
      </c>
      <c r="F24" s="9" t="s">
        <v>119</v>
      </c>
      <c r="G24" s="9" t="s">
        <v>23</v>
      </c>
      <c r="H24" s="12">
        <v>1</v>
      </c>
      <c r="I24" s="12">
        <v>1</v>
      </c>
      <c r="J24" s="12">
        <v>1</v>
      </c>
      <c r="K24" s="12">
        <v>0.5</v>
      </c>
      <c r="L24" s="12">
        <v>1</v>
      </c>
      <c r="M24" s="12">
        <v>1</v>
      </c>
      <c r="N24" s="12">
        <v>1</v>
      </c>
      <c r="O24" s="12">
        <v>1</v>
      </c>
      <c r="P24" s="12">
        <v>1</v>
      </c>
      <c r="Q24" s="12">
        <v>1</v>
      </c>
      <c r="R24" s="13">
        <f t="shared" si="0"/>
        <v>9.5</v>
      </c>
      <c r="S24" s="6" t="s">
        <v>40</v>
      </c>
      <c r="T24" s="7"/>
    </row>
    <row r="25" spans="1:20">
      <c r="A25" s="6">
        <v>24</v>
      </c>
      <c r="B25" s="6" t="s">
        <v>63</v>
      </c>
      <c r="C25" s="6" t="s">
        <v>70</v>
      </c>
      <c r="D25" s="6" t="s">
        <v>24</v>
      </c>
      <c r="E25" s="8" t="s">
        <v>22</v>
      </c>
      <c r="F25" s="9" t="s">
        <v>119</v>
      </c>
      <c r="G25" s="9" t="s">
        <v>25</v>
      </c>
      <c r="H25" s="12">
        <v>0</v>
      </c>
      <c r="I25" s="12">
        <v>1</v>
      </c>
      <c r="J25" s="12">
        <v>0.9</v>
      </c>
      <c r="K25" s="12">
        <v>1</v>
      </c>
      <c r="L25" s="12">
        <v>1</v>
      </c>
      <c r="M25" s="12">
        <v>1</v>
      </c>
      <c r="N25" s="12">
        <v>1</v>
      </c>
      <c r="O25" s="12">
        <v>1</v>
      </c>
      <c r="P25" s="12">
        <v>1</v>
      </c>
      <c r="Q25" s="12">
        <v>1</v>
      </c>
      <c r="R25" s="13">
        <f t="shared" si="0"/>
        <v>8.9</v>
      </c>
      <c r="S25" s="6" t="s">
        <v>41</v>
      </c>
      <c r="T25" s="7"/>
    </row>
    <row r="26" spans="1:20">
      <c r="A26" s="6">
        <v>25</v>
      </c>
      <c r="B26" s="6" t="s">
        <v>63</v>
      </c>
      <c r="C26" s="6" t="s">
        <v>72</v>
      </c>
      <c r="D26" s="6" t="s">
        <v>26</v>
      </c>
      <c r="E26" s="8">
        <v>80</v>
      </c>
      <c r="F26" s="9" t="s">
        <v>13</v>
      </c>
      <c r="G26" s="9" t="s">
        <v>13</v>
      </c>
      <c r="H26" s="12">
        <v>0</v>
      </c>
      <c r="I26" s="12">
        <v>1</v>
      </c>
      <c r="J26" s="12">
        <v>1</v>
      </c>
      <c r="K26" s="12">
        <v>1</v>
      </c>
      <c r="L26" s="12">
        <v>1</v>
      </c>
      <c r="M26" s="12">
        <v>1</v>
      </c>
      <c r="N26" s="12">
        <v>1</v>
      </c>
      <c r="O26" s="12">
        <v>1</v>
      </c>
      <c r="P26" s="12">
        <v>1</v>
      </c>
      <c r="Q26" s="12">
        <v>1</v>
      </c>
      <c r="R26" s="13">
        <f t="shared" si="0"/>
        <v>9</v>
      </c>
      <c r="S26" s="6" t="s">
        <v>41</v>
      </c>
      <c r="T26" s="7"/>
    </row>
    <row r="27" spans="1:20">
      <c r="A27" s="6">
        <v>26</v>
      </c>
      <c r="B27" s="6" t="s">
        <v>63</v>
      </c>
      <c r="C27" s="6" t="s">
        <v>72</v>
      </c>
      <c r="D27" s="6" t="s">
        <v>26</v>
      </c>
      <c r="E27" s="8">
        <v>80</v>
      </c>
      <c r="F27" s="9" t="s">
        <v>14</v>
      </c>
      <c r="G27" s="9" t="s">
        <v>14</v>
      </c>
      <c r="H27" s="12">
        <v>1</v>
      </c>
      <c r="I27" s="12">
        <v>1</v>
      </c>
      <c r="J27" s="12">
        <v>0</v>
      </c>
      <c r="K27" s="12">
        <v>0.25</v>
      </c>
      <c r="L27" s="12">
        <v>1</v>
      </c>
      <c r="M27" s="12">
        <v>1</v>
      </c>
      <c r="N27" s="12">
        <v>0.9</v>
      </c>
      <c r="O27" s="12">
        <v>1</v>
      </c>
      <c r="P27" s="12">
        <v>1</v>
      </c>
      <c r="Q27" s="12">
        <v>1</v>
      </c>
      <c r="R27" s="13">
        <f t="shared" si="0"/>
        <v>8.15</v>
      </c>
      <c r="S27" s="6" t="s">
        <v>41</v>
      </c>
      <c r="T27" s="7"/>
    </row>
    <row r="28" spans="1:20">
      <c r="A28" s="6">
        <v>27</v>
      </c>
      <c r="B28" s="6" t="s">
        <v>63</v>
      </c>
      <c r="C28" s="6" t="s">
        <v>70</v>
      </c>
      <c r="D28" s="6" t="s">
        <v>27</v>
      </c>
      <c r="E28" s="8">
        <v>235</v>
      </c>
      <c r="F28" s="9" t="s">
        <v>13</v>
      </c>
      <c r="G28" s="9" t="s">
        <v>13</v>
      </c>
      <c r="H28" s="12">
        <v>0</v>
      </c>
      <c r="I28" s="12">
        <v>1</v>
      </c>
      <c r="J28" s="12">
        <v>1</v>
      </c>
      <c r="K28" s="12">
        <v>1</v>
      </c>
      <c r="L28" s="12">
        <v>1</v>
      </c>
      <c r="M28" s="12">
        <v>1</v>
      </c>
      <c r="N28" s="12">
        <v>0.9</v>
      </c>
      <c r="O28" s="12">
        <v>1</v>
      </c>
      <c r="P28" s="12">
        <v>1</v>
      </c>
      <c r="Q28" s="12">
        <v>1</v>
      </c>
      <c r="R28" s="13">
        <f t="shared" si="0"/>
        <v>8.9</v>
      </c>
      <c r="S28" s="6" t="s">
        <v>41</v>
      </c>
      <c r="T28" s="7"/>
    </row>
    <row r="29" spans="1:20">
      <c r="A29" s="6">
        <v>28</v>
      </c>
      <c r="B29" s="6" t="s">
        <v>63</v>
      </c>
      <c r="C29" s="6" t="s">
        <v>71</v>
      </c>
      <c r="D29" s="6" t="s">
        <v>28</v>
      </c>
      <c r="E29" s="8">
        <v>235</v>
      </c>
      <c r="F29" s="9" t="s">
        <v>13</v>
      </c>
      <c r="G29" s="9" t="s">
        <v>13</v>
      </c>
      <c r="H29" s="12">
        <v>1</v>
      </c>
      <c r="I29" s="12">
        <v>1</v>
      </c>
      <c r="J29" s="12">
        <v>1</v>
      </c>
      <c r="K29" s="12">
        <v>0.9</v>
      </c>
      <c r="L29" s="12">
        <v>1</v>
      </c>
      <c r="M29" s="12">
        <v>1</v>
      </c>
      <c r="N29" s="12">
        <v>1</v>
      </c>
      <c r="O29" s="12">
        <v>1</v>
      </c>
      <c r="P29" s="12">
        <v>1</v>
      </c>
      <c r="Q29" s="12">
        <v>1</v>
      </c>
      <c r="R29" s="13">
        <f t="shared" si="0"/>
        <v>9.9</v>
      </c>
      <c r="S29" s="6" t="s">
        <v>41</v>
      </c>
      <c r="T29" s="7"/>
    </row>
    <row r="30" spans="1:20">
      <c r="A30" s="6">
        <v>29</v>
      </c>
      <c r="B30" s="6" t="s">
        <v>63</v>
      </c>
      <c r="C30" s="6" t="s">
        <v>70</v>
      </c>
      <c r="D30" s="6" t="s">
        <v>27</v>
      </c>
      <c r="E30" s="8">
        <v>235</v>
      </c>
      <c r="F30" s="9" t="s">
        <v>14</v>
      </c>
      <c r="G30" s="9" t="s">
        <v>14</v>
      </c>
      <c r="H30" s="12">
        <v>1</v>
      </c>
      <c r="I30" s="12">
        <v>1</v>
      </c>
      <c r="J30" s="12">
        <v>1</v>
      </c>
      <c r="K30" s="12">
        <v>0.9</v>
      </c>
      <c r="L30" s="12">
        <v>1</v>
      </c>
      <c r="M30" s="12">
        <v>1</v>
      </c>
      <c r="N30" s="12">
        <v>0.9</v>
      </c>
      <c r="O30" s="12">
        <v>1</v>
      </c>
      <c r="P30" s="12">
        <v>1</v>
      </c>
      <c r="Q30" s="12">
        <v>1</v>
      </c>
      <c r="R30" s="13">
        <f t="shared" si="0"/>
        <v>9.8000000000000007</v>
      </c>
      <c r="S30" s="6" t="s">
        <v>41</v>
      </c>
      <c r="T30" s="7"/>
    </row>
    <row r="31" spans="1:20">
      <c r="A31" s="6">
        <v>30</v>
      </c>
      <c r="B31" s="6" t="s">
        <v>63</v>
      </c>
      <c r="C31" s="6" t="s">
        <v>71</v>
      </c>
      <c r="D31" s="6" t="s">
        <v>28</v>
      </c>
      <c r="E31" s="8">
        <v>235</v>
      </c>
      <c r="F31" s="9" t="s">
        <v>14</v>
      </c>
      <c r="G31" s="9" t="s">
        <v>14</v>
      </c>
      <c r="H31" s="12">
        <v>1</v>
      </c>
      <c r="I31" s="12">
        <v>1</v>
      </c>
      <c r="J31" s="12">
        <v>0.9</v>
      </c>
      <c r="K31" s="12">
        <v>0.9</v>
      </c>
      <c r="L31" s="12">
        <v>1</v>
      </c>
      <c r="M31" s="12">
        <v>1</v>
      </c>
      <c r="N31" s="12">
        <v>1</v>
      </c>
      <c r="O31" s="12">
        <v>1</v>
      </c>
      <c r="P31" s="12">
        <v>1</v>
      </c>
      <c r="Q31" s="12">
        <v>1</v>
      </c>
      <c r="R31" s="13">
        <f t="shared" si="0"/>
        <v>9.8000000000000007</v>
      </c>
      <c r="S31" s="6" t="s">
        <v>41</v>
      </c>
      <c r="T31" s="7"/>
    </row>
    <row r="32" spans="1:20">
      <c r="A32" s="6">
        <v>31</v>
      </c>
      <c r="B32" s="6" t="s">
        <v>75</v>
      </c>
      <c r="C32" s="6" t="s">
        <v>73</v>
      </c>
      <c r="D32" s="6" t="s">
        <v>29</v>
      </c>
      <c r="E32" s="8" t="s">
        <v>30</v>
      </c>
      <c r="F32" s="9" t="s">
        <v>31</v>
      </c>
      <c r="G32" s="9" t="s">
        <v>31</v>
      </c>
      <c r="H32" s="12">
        <v>1</v>
      </c>
      <c r="I32" s="12">
        <v>1</v>
      </c>
      <c r="J32" s="12">
        <v>1</v>
      </c>
      <c r="K32" s="12">
        <v>1</v>
      </c>
      <c r="L32" s="12">
        <v>1</v>
      </c>
      <c r="M32" s="12">
        <v>1</v>
      </c>
      <c r="N32" s="12">
        <v>1</v>
      </c>
      <c r="O32" s="12">
        <v>1</v>
      </c>
      <c r="P32" s="12">
        <v>1</v>
      </c>
      <c r="Q32" s="12">
        <v>1</v>
      </c>
      <c r="R32" s="13">
        <f t="shared" si="0"/>
        <v>10</v>
      </c>
      <c r="S32" s="6" t="s">
        <v>42</v>
      </c>
      <c r="T32" s="7"/>
    </row>
    <row r="33" spans="1:20">
      <c r="A33" s="6">
        <v>32</v>
      </c>
      <c r="B33" s="6" t="s">
        <v>63</v>
      </c>
      <c r="C33" s="6" t="s">
        <v>68</v>
      </c>
      <c r="D33" s="6" t="s">
        <v>32</v>
      </c>
      <c r="E33" s="8">
        <v>397</v>
      </c>
      <c r="F33" s="9" t="s">
        <v>31</v>
      </c>
      <c r="G33" s="9" t="s">
        <v>33</v>
      </c>
      <c r="H33" s="12">
        <v>1</v>
      </c>
      <c r="I33" s="12">
        <v>1</v>
      </c>
      <c r="J33" s="12">
        <v>1</v>
      </c>
      <c r="K33" s="12">
        <v>1</v>
      </c>
      <c r="L33" s="12">
        <v>1</v>
      </c>
      <c r="M33" s="12">
        <v>1</v>
      </c>
      <c r="N33" s="12">
        <v>1</v>
      </c>
      <c r="O33" s="12">
        <v>1</v>
      </c>
      <c r="P33" s="12">
        <v>1</v>
      </c>
      <c r="Q33" s="12">
        <v>1</v>
      </c>
      <c r="R33" s="13">
        <f t="shared" si="0"/>
        <v>10</v>
      </c>
      <c r="S33" s="6" t="s">
        <v>42</v>
      </c>
      <c r="T33" s="7"/>
    </row>
    <row r="34" spans="1:20">
      <c r="A34" s="6">
        <v>33</v>
      </c>
      <c r="B34" s="6" t="s">
        <v>64</v>
      </c>
      <c r="C34" s="6" t="s">
        <v>69</v>
      </c>
      <c r="D34" s="6" t="s">
        <v>34</v>
      </c>
      <c r="E34" s="8">
        <v>120</v>
      </c>
      <c r="F34" s="9" t="s">
        <v>31</v>
      </c>
      <c r="G34" s="9" t="s">
        <v>33</v>
      </c>
      <c r="H34" s="12">
        <v>1</v>
      </c>
      <c r="I34" s="12">
        <v>1</v>
      </c>
      <c r="J34" s="12">
        <v>1</v>
      </c>
      <c r="K34" s="12">
        <v>0</v>
      </c>
      <c r="L34" s="12">
        <v>0.5</v>
      </c>
      <c r="M34" s="12">
        <v>1</v>
      </c>
      <c r="N34" s="12">
        <v>1</v>
      </c>
      <c r="O34" s="12">
        <v>1</v>
      </c>
      <c r="P34" s="12">
        <v>1</v>
      </c>
      <c r="Q34" s="12">
        <v>1</v>
      </c>
      <c r="R34" s="13">
        <f t="shared" ref="R34:R65" si="1">SUM(H34:Q34)</f>
        <v>8.5</v>
      </c>
      <c r="S34" s="6" t="s">
        <v>42</v>
      </c>
      <c r="T34" s="7"/>
    </row>
    <row r="35" spans="1:20">
      <c r="A35" s="6">
        <v>34</v>
      </c>
      <c r="B35" s="6" t="s">
        <v>75</v>
      </c>
      <c r="C35" s="6" t="s">
        <v>74</v>
      </c>
      <c r="D35" s="6" t="s">
        <v>35</v>
      </c>
      <c r="E35" s="8" t="s">
        <v>30</v>
      </c>
      <c r="F35" s="9" t="s">
        <v>31</v>
      </c>
      <c r="G35" s="9" t="s">
        <v>33</v>
      </c>
      <c r="H35" s="12">
        <v>1</v>
      </c>
      <c r="I35" s="12">
        <v>1</v>
      </c>
      <c r="J35" s="12">
        <v>1</v>
      </c>
      <c r="K35" s="12">
        <v>1</v>
      </c>
      <c r="L35" s="12">
        <v>1</v>
      </c>
      <c r="M35" s="12">
        <v>1</v>
      </c>
      <c r="N35" s="12">
        <v>1</v>
      </c>
      <c r="O35" s="12">
        <v>1</v>
      </c>
      <c r="P35" s="12">
        <v>1</v>
      </c>
      <c r="Q35" s="12">
        <v>1</v>
      </c>
      <c r="R35" s="13">
        <f t="shared" si="1"/>
        <v>10</v>
      </c>
      <c r="S35" s="6" t="s">
        <v>42</v>
      </c>
      <c r="T35" s="7"/>
    </row>
    <row r="36" spans="1:20">
      <c r="A36" s="6">
        <v>35</v>
      </c>
      <c r="B36" s="6" t="s">
        <v>65</v>
      </c>
      <c r="C36" s="6" t="s">
        <v>66</v>
      </c>
      <c r="D36" s="6" t="s">
        <v>36</v>
      </c>
      <c r="E36" s="8" t="s">
        <v>30</v>
      </c>
      <c r="F36" s="9" t="s">
        <v>31</v>
      </c>
      <c r="G36" s="9" t="s">
        <v>33</v>
      </c>
      <c r="H36" s="12">
        <v>1</v>
      </c>
      <c r="I36" s="12">
        <v>1</v>
      </c>
      <c r="J36" s="12">
        <v>1</v>
      </c>
      <c r="K36" s="12">
        <v>1</v>
      </c>
      <c r="L36" s="12">
        <v>1</v>
      </c>
      <c r="M36" s="12">
        <v>1</v>
      </c>
      <c r="N36" s="12">
        <v>1</v>
      </c>
      <c r="O36" s="12">
        <v>1</v>
      </c>
      <c r="P36" s="12">
        <v>1</v>
      </c>
      <c r="Q36" s="12">
        <v>1</v>
      </c>
      <c r="R36" s="13">
        <f t="shared" si="1"/>
        <v>10</v>
      </c>
      <c r="S36" s="6" t="s">
        <v>42</v>
      </c>
      <c r="T36" s="7"/>
    </row>
    <row r="37" spans="1:20">
      <c r="A37" s="6">
        <v>36</v>
      </c>
      <c r="B37" s="6" t="s">
        <v>65</v>
      </c>
      <c r="C37" s="6" t="s">
        <v>67</v>
      </c>
      <c r="D37" s="6" t="s">
        <v>37</v>
      </c>
      <c r="E37" s="8" t="s">
        <v>30</v>
      </c>
      <c r="F37" s="9" t="s">
        <v>31</v>
      </c>
      <c r="G37" s="9" t="s">
        <v>33</v>
      </c>
      <c r="H37" s="12">
        <v>1</v>
      </c>
      <c r="I37" s="12">
        <v>1</v>
      </c>
      <c r="J37" s="12">
        <v>1</v>
      </c>
      <c r="K37" s="12">
        <v>1</v>
      </c>
      <c r="L37" s="12">
        <v>1</v>
      </c>
      <c r="M37" s="12">
        <v>1</v>
      </c>
      <c r="N37" s="12">
        <v>1</v>
      </c>
      <c r="O37" s="12">
        <v>1</v>
      </c>
      <c r="P37" s="12">
        <v>1</v>
      </c>
      <c r="Q37" s="12">
        <v>1</v>
      </c>
      <c r="R37" s="13">
        <f t="shared" si="1"/>
        <v>10</v>
      </c>
      <c r="S37" s="6" t="s">
        <v>42</v>
      </c>
      <c r="T37" s="7"/>
    </row>
    <row r="38" spans="1:20">
      <c r="A38" s="6">
        <v>37</v>
      </c>
      <c r="B38" s="6" t="s">
        <v>63</v>
      </c>
      <c r="C38" s="6" t="s">
        <v>68</v>
      </c>
      <c r="D38" s="6" t="s">
        <v>58</v>
      </c>
      <c r="E38" s="8">
        <v>27</v>
      </c>
      <c r="F38" s="9" t="s">
        <v>31</v>
      </c>
      <c r="G38" s="9" t="s">
        <v>33</v>
      </c>
      <c r="H38" s="12">
        <v>1</v>
      </c>
      <c r="I38" s="12">
        <v>1</v>
      </c>
      <c r="J38" s="12">
        <v>0.75</v>
      </c>
      <c r="K38" s="12">
        <v>1</v>
      </c>
      <c r="L38" s="12">
        <v>1</v>
      </c>
      <c r="M38" s="12">
        <v>1</v>
      </c>
      <c r="N38" s="12">
        <v>1</v>
      </c>
      <c r="O38" s="12">
        <v>1</v>
      </c>
      <c r="P38" s="12">
        <v>1</v>
      </c>
      <c r="Q38" s="12">
        <v>1</v>
      </c>
      <c r="R38" s="17">
        <f t="shared" si="1"/>
        <v>9.75</v>
      </c>
      <c r="S38" s="6" t="s">
        <v>42</v>
      </c>
      <c r="T38" s="7"/>
    </row>
    <row r="39" spans="1:20">
      <c r="A39" s="6">
        <v>38</v>
      </c>
      <c r="B39" s="6" t="s">
        <v>63</v>
      </c>
      <c r="C39" s="6" t="s">
        <v>68</v>
      </c>
      <c r="D39" s="6" t="s">
        <v>110</v>
      </c>
      <c r="E39" s="8">
        <v>30</v>
      </c>
      <c r="F39" s="9" t="s">
        <v>31</v>
      </c>
      <c r="G39" s="9" t="s">
        <v>33</v>
      </c>
      <c r="H39" s="12">
        <v>1</v>
      </c>
      <c r="I39" s="12">
        <v>1</v>
      </c>
      <c r="J39" s="12">
        <v>0.75</v>
      </c>
      <c r="K39" s="12">
        <v>1</v>
      </c>
      <c r="L39" s="12">
        <v>1</v>
      </c>
      <c r="M39" s="12">
        <v>1</v>
      </c>
      <c r="N39" s="12">
        <v>1</v>
      </c>
      <c r="O39" s="12">
        <v>1</v>
      </c>
      <c r="P39" s="12">
        <v>1</v>
      </c>
      <c r="Q39" s="12">
        <v>1</v>
      </c>
      <c r="R39" s="17">
        <f t="shared" si="1"/>
        <v>9.75</v>
      </c>
      <c r="S39" s="6" t="s">
        <v>42</v>
      </c>
      <c r="T39" s="7"/>
    </row>
    <row r="40" spans="1:20">
      <c r="A40" s="6">
        <v>39</v>
      </c>
      <c r="B40" s="6" t="s">
        <v>63</v>
      </c>
      <c r="C40" s="6" t="s">
        <v>68</v>
      </c>
      <c r="D40" s="6" t="s">
        <v>60</v>
      </c>
      <c r="E40" s="8">
        <v>122</v>
      </c>
      <c r="F40" s="9" t="s">
        <v>31</v>
      </c>
      <c r="G40" s="9" t="s">
        <v>33</v>
      </c>
      <c r="H40" s="12">
        <v>1</v>
      </c>
      <c r="I40" s="12">
        <v>1</v>
      </c>
      <c r="J40" s="12">
        <v>0.75</v>
      </c>
      <c r="K40" s="12">
        <v>1</v>
      </c>
      <c r="L40" s="12">
        <v>1</v>
      </c>
      <c r="M40" s="12">
        <v>1</v>
      </c>
      <c r="N40" s="12">
        <v>1</v>
      </c>
      <c r="O40" s="12">
        <v>1</v>
      </c>
      <c r="P40" s="12">
        <v>1</v>
      </c>
      <c r="Q40" s="12">
        <v>1</v>
      </c>
      <c r="R40" s="17">
        <f t="shared" si="1"/>
        <v>9.75</v>
      </c>
      <c r="S40" s="6" t="s">
        <v>42</v>
      </c>
      <c r="T40" s="7"/>
    </row>
    <row r="41" spans="1:20">
      <c r="A41" s="6">
        <v>40</v>
      </c>
      <c r="B41" s="6" t="s">
        <v>76</v>
      </c>
      <c r="C41" s="6" t="s">
        <v>77</v>
      </c>
      <c r="D41" s="6" t="s">
        <v>77</v>
      </c>
      <c r="E41" s="8">
        <v>229</v>
      </c>
      <c r="F41" s="9" t="s">
        <v>31</v>
      </c>
      <c r="G41" s="9" t="s">
        <v>33</v>
      </c>
      <c r="H41" s="12">
        <v>1</v>
      </c>
      <c r="I41" s="12">
        <v>1</v>
      </c>
      <c r="J41" s="12">
        <v>1</v>
      </c>
      <c r="K41" s="12">
        <v>0.75</v>
      </c>
      <c r="L41" s="12">
        <v>1</v>
      </c>
      <c r="M41" s="12">
        <v>1</v>
      </c>
      <c r="N41" s="12">
        <v>0</v>
      </c>
      <c r="O41" s="12">
        <v>1</v>
      </c>
      <c r="P41" s="12">
        <v>1</v>
      </c>
      <c r="Q41" s="12">
        <v>1</v>
      </c>
      <c r="R41" s="17">
        <f t="shared" si="1"/>
        <v>8.75</v>
      </c>
      <c r="S41" s="6" t="s">
        <v>42</v>
      </c>
      <c r="T41" s="7"/>
    </row>
    <row r="42" spans="1:20">
      <c r="A42" s="6">
        <v>41</v>
      </c>
      <c r="B42" s="6" t="s">
        <v>63</v>
      </c>
      <c r="C42" s="6" t="s">
        <v>68</v>
      </c>
      <c r="D42" s="6" t="s">
        <v>58</v>
      </c>
      <c r="E42" s="8">
        <v>27</v>
      </c>
      <c r="F42" s="9" t="s">
        <v>31</v>
      </c>
      <c r="G42" s="14" t="s">
        <v>78</v>
      </c>
      <c r="H42" s="18">
        <v>0</v>
      </c>
      <c r="I42" s="18">
        <v>1</v>
      </c>
      <c r="J42" s="18">
        <v>1</v>
      </c>
      <c r="K42" s="18">
        <v>0.95</v>
      </c>
      <c r="L42" s="18">
        <v>1</v>
      </c>
      <c r="M42" s="18">
        <v>1</v>
      </c>
      <c r="N42" s="18">
        <v>0.95</v>
      </c>
      <c r="O42" s="18">
        <v>1</v>
      </c>
      <c r="P42" s="18">
        <v>1</v>
      </c>
      <c r="Q42" s="18">
        <v>1</v>
      </c>
      <c r="R42" s="17">
        <f t="shared" si="1"/>
        <v>8.9</v>
      </c>
      <c r="S42" s="6" t="s">
        <v>41</v>
      </c>
      <c r="T42" s="7"/>
    </row>
    <row r="43" spans="1:20">
      <c r="A43" s="6">
        <v>42</v>
      </c>
      <c r="B43" s="6" t="s">
        <v>63</v>
      </c>
      <c r="C43" s="6" t="s">
        <v>68</v>
      </c>
      <c r="D43" s="6" t="s">
        <v>110</v>
      </c>
      <c r="E43" s="8">
        <v>35</v>
      </c>
      <c r="F43" s="9" t="s">
        <v>31</v>
      </c>
      <c r="G43" s="14" t="s">
        <v>78</v>
      </c>
      <c r="H43" s="18">
        <v>1</v>
      </c>
      <c r="I43" s="18">
        <v>1</v>
      </c>
      <c r="J43" s="18">
        <v>0.95</v>
      </c>
      <c r="K43" s="18">
        <v>0.75</v>
      </c>
      <c r="L43" s="18">
        <v>1</v>
      </c>
      <c r="M43" s="18">
        <v>1</v>
      </c>
      <c r="N43" s="18">
        <v>1</v>
      </c>
      <c r="O43" s="18">
        <v>1</v>
      </c>
      <c r="P43" s="18">
        <v>1</v>
      </c>
      <c r="Q43" s="18">
        <v>1</v>
      </c>
      <c r="R43" s="17">
        <f t="shared" si="1"/>
        <v>9.6999999999999993</v>
      </c>
      <c r="S43" s="6" t="s">
        <v>41</v>
      </c>
      <c r="T43" s="7"/>
    </row>
    <row r="44" spans="1:20">
      <c r="A44" s="6">
        <v>43</v>
      </c>
      <c r="B44" s="6" t="s">
        <v>63</v>
      </c>
      <c r="C44" s="6" t="s">
        <v>68</v>
      </c>
      <c r="D44" s="6" t="s">
        <v>58</v>
      </c>
      <c r="E44" s="8">
        <v>27</v>
      </c>
      <c r="F44" s="9" t="s">
        <v>31</v>
      </c>
      <c r="G44" s="9" t="s">
        <v>31</v>
      </c>
      <c r="H44" s="18">
        <v>1</v>
      </c>
      <c r="I44" s="18">
        <v>1</v>
      </c>
      <c r="J44" s="18">
        <v>1</v>
      </c>
      <c r="K44" s="18">
        <v>0.75</v>
      </c>
      <c r="L44" s="18">
        <v>1</v>
      </c>
      <c r="M44" s="18">
        <v>1</v>
      </c>
      <c r="N44" s="18">
        <v>1</v>
      </c>
      <c r="O44" s="18">
        <v>1</v>
      </c>
      <c r="P44" s="18">
        <v>1</v>
      </c>
      <c r="Q44" s="18">
        <v>1</v>
      </c>
      <c r="R44" s="17">
        <f t="shared" si="1"/>
        <v>9.75</v>
      </c>
      <c r="S44" s="6" t="s">
        <v>41</v>
      </c>
      <c r="T44" s="7"/>
    </row>
    <row r="45" spans="1:20">
      <c r="A45" s="6">
        <v>44</v>
      </c>
      <c r="B45" s="6" t="s">
        <v>63</v>
      </c>
      <c r="C45" s="6" t="s">
        <v>68</v>
      </c>
      <c r="D45" s="6" t="s">
        <v>110</v>
      </c>
      <c r="E45" s="8">
        <v>35</v>
      </c>
      <c r="F45" s="9" t="s">
        <v>31</v>
      </c>
      <c r="G45" s="9" t="s">
        <v>31</v>
      </c>
      <c r="H45" s="18">
        <v>1</v>
      </c>
      <c r="I45" s="18">
        <v>1</v>
      </c>
      <c r="J45" s="18">
        <v>0.95</v>
      </c>
      <c r="K45" s="18">
        <v>0.95</v>
      </c>
      <c r="L45" s="18">
        <v>1</v>
      </c>
      <c r="M45" s="18">
        <v>0.25</v>
      </c>
      <c r="N45" s="18">
        <v>1</v>
      </c>
      <c r="O45" s="18">
        <v>1</v>
      </c>
      <c r="P45" s="18">
        <v>1</v>
      </c>
      <c r="Q45" s="18">
        <v>1</v>
      </c>
      <c r="R45" s="17">
        <f t="shared" si="1"/>
        <v>9.15</v>
      </c>
      <c r="S45" s="6" t="s">
        <v>41</v>
      </c>
      <c r="T45" s="7"/>
    </row>
    <row r="46" spans="1:20">
      <c r="A46" s="6">
        <v>45</v>
      </c>
      <c r="B46" s="6" t="s">
        <v>85</v>
      </c>
      <c r="C46" s="6" t="s">
        <v>82</v>
      </c>
      <c r="D46" s="6" t="s">
        <v>86</v>
      </c>
      <c r="E46" s="8">
        <v>754</v>
      </c>
      <c r="F46" s="14" t="s">
        <v>31</v>
      </c>
      <c r="G46" s="14" t="s">
        <v>31</v>
      </c>
      <c r="H46" s="18">
        <v>1</v>
      </c>
      <c r="I46" s="18">
        <v>1</v>
      </c>
      <c r="J46" s="18">
        <v>0.95</v>
      </c>
      <c r="K46" s="18">
        <v>0.75</v>
      </c>
      <c r="L46" s="18">
        <v>1</v>
      </c>
      <c r="M46" s="18">
        <v>1</v>
      </c>
      <c r="N46" s="18">
        <v>1</v>
      </c>
      <c r="O46" s="18">
        <v>1</v>
      </c>
      <c r="P46" s="18">
        <v>1</v>
      </c>
      <c r="Q46" s="18">
        <v>1</v>
      </c>
      <c r="R46" s="17">
        <f t="shared" si="1"/>
        <v>9.6999999999999993</v>
      </c>
      <c r="S46" s="6" t="s">
        <v>42</v>
      </c>
      <c r="T46" s="7"/>
    </row>
    <row r="47" spans="1:20">
      <c r="A47" s="6">
        <v>46</v>
      </c>
      <c r="B47" s="6" t="s">
        <v>84</v>
      </c>
      <c r="C47" s="6" t="s">
        <v>83</v>
      </c>
      <c r="D47" s="6" t="s">
        <v>87</v>
      </c>
      <c r="E47" s="8">
        <v>1100</v>
      </c>
      <c r="F47" s="14" t="s">
        <v>31</v>
      </c>
      <c r="G47" s="14" t="s">
        <v>31</v>
      </c>
      <c r="H47" s="18">
        <v>1</v>
      </c>
      <c r="I47" s="18">
        <v>1</v>
      </c>
      <c r="J47" s="18">
        <v>0.95</v>
      </c>
      <c r="K47" s="18">
        <v>0.75</v>
      </c>
      <c r="L47" s="18">
        <v>1</v>
      </c>
      <c r="M47" s="18">
        <v>0</v>
      </c>
      <c r="N47" s="18">
        <v>1</v>
      </c>
      <c r="O47" s="18">
        <v>1</v>
      </c>
      <c r="P47" s="18">
        <v>1</v>
      </c>
      <c r="Q47" s="18">
        <v>1</v>
      </c>
      <c r="R47" s="17">
        <f t="shared" si="1"/>
        <v>8.6999999999999993</v>
      </c>
      <c r="S47" s="6" t="s">
        <v>42</v>
      </c>
      <c r="T47" s="7"/>
    </row>
    <row r="48" spans="1:20">
      <c r="A48" s="6">
        <v>47</v>
      </c>
      <c r="B48" s="6" t="s">
        <v>79</v>
      </c>
      <c r="C48" s="6" t="s">
        <v>80</v>
      </c>
      <c r="D48" s="6" t="s">
        <v>88</v>
      </c>
      <c r="E48" s="15">
        <v>4</v>
      </c>
      <c r="F48" s="14" t="s">
        <v>31</v>
      </c>
      <c r="G48" s="14" t="s">
        <v>31</v>
      </c>
      <c r="H48" s="18">
        <v>1</v>
      </c>
      <c r="I48" s="18">
        <v>1</v>
      </c>
      <c r="J48" s="18">
        <v>1</v>
      </c>
      <c r="K48" s="18">
        <v>0.1</v>
      </c>
      <c r="L48" s="18">
        <v>1</v>
      </c>
      <c r="M48" s="18">
        <v>1</v>
      </c>
      <c r="N48" s="18">
        <v>0.5</v>
      </c>
      <c r="O48" s="18">
        <v>0</v>
      </c>
      <c r="P48" s="18">
        <v>1</v>
      </c>
      <c r="Q48" s="18">
        <v>1</v>
      </c>
      <c r="R48" s="17">
        <f t="shared" si="1"/>
        <v>7.6</v>
      </c>
      <c r="S48" s="6" t="s">
        <v>39</v>
      </c>
      <c r="T48" s="7"/>
    </row>
    <row r="49" spans="1:20">
      <c r="A49" s="6">
        <v>48</v>
      </c>
      <c r="B49" s="6" t="s">
        <v>79</v>
      </c>
      <c r="C49" s="6" t="s">
        <v>80</v>
      </c>
      <c r="D49" s="6" t="s">
        <v>88</v>
      </c>
      <c r="E49" s="15">
        <v>4</v>
      </c>
      <c r="F49" s="14" t="s">
        <v>89</v>
      </c>
      <c r="G49" s="14" t="s">
        <v>89</v>
      </c>
      <c r="H49" s="18">
        <v>0.1</v>
      </c>
      <c r="I49" s="18">
        <v>0</v>
      </c>
      <c r="J49" s="18">
        <v>0.5</v>
      </c>
      <c r="K49" s="18">
        <v>0</v>
      </c>
      <c r="L49" s="18">
        <v>1</v>
      </c>
      <c r="M49" s="18">
        <v>0</v>
      </c>
      <c r="N49" s="18">
        <v>0</v>
      </c>
      <c r="O49" s="18">
        <v>0</v>
      </c>
      <c r="P49" s="18">
        <v>0</v>
      </c>
      <c r="Q49" s="18">
        <v>1</v>
      </c>
      <c r="R49" s="17">
        <f t="shared" si="1"/>
        <v>2.6</v>
      </c>
      <c r="S49" s="6" t="s">
        <v>39</v>
      </c>
      <c r="T49" s="7"/>
    </row>
    <row r="50" spans="1:20">
      <c r="A50" s="6">
        <v>49</v>
      </c>
      <c r="B50" s="6" t="s">
        <v>79</v>
      </c>
      <c r="C50" s="6" t="s">
        <v>80</v>
      </c>
      <c r="D50" s="6" t="s">
        <v>81</v>
      </c>
      <c r="E50" s="15">
        <v>120</v>
      </c>
      <c r="F50" s="14" t="s">
        <v>89</v>
      </c>
      <c r="G50" s="14" t="s">
        <v>89</v>
      </c>
      <c r="H50" s="18">
        <v>1</v>
      </c>
      <c r="I50" s="18">
        <v>1</v>
      </c>
      <c r="J50" s="18">
        <v>1</v>
      </c>
      <c r="K50" s="18">
        <v>0</v>
      </c>
      <c r="L50" s="18">
        <v>1</v>
      </c>
      <c r="M50" s="18">
        <v>1</v>
      </c>
      <c r="N50" s="18">
        <v>1</v>
      </c>
      <c r="O50" s="18">
        <v>1</v>
      </c>
      <c r="P50" s="18">
        <v>1</v>
      </c>
      <c r="Q50" s="18">
        <v>1</v>
      </c>
      <c r="R50" s="17">
        <f t="shared" si="1"/>
        <v>9</v>
      </c>
      <c r="S50" s="6" t="s">
        <v>90</v>
      </c>
      <c r="T50" s="7"/>
    </row>
    <row r="51" spans="1:20">
      <c r="A51" s="6">
        <v>50</v>
      </c>
      <c r="B51" s="6" t="s">
        <v>79</v>
      </c>
      <c r="C51" s="6" t="s">
        <v>80</v>
      </c>
      <c r="D51" s="6" t="s">
        <v>91</v>
      </c>
      <c r="E51" s="15">
        <v>120</v>
      </c>
      <c r="F51" s="14" t="s">
        <v>31</v>
      </c>
      <c r="G51" s="14" t="s">
        <v>31</v>
      </c>
      <c r="H51" s="18">
        <v>1</v>
      </c>
      <c r="I51" s="18">
        <v>1</v>
      </c>
      <c r="J51" s="18">
        <v>0</v>
      </c>
      <c r="K51" s="18">
        <v>0</v>
      </c>
      <c r="L51" s="18">
        <v>1</v>
      </c>
      <c r="M51" s="18">
        <v>1</v>
      </c>
      <c r="N51" s="18">
        <v>0.5</v>
      </c>
      <c r="O51" s="18">
        <v>1</v>
      </c>
      <c r="P51" s="18">
        <v>1</v>
      </c>
      <c r="Q51" s="18">
        <v>1</v>
      </c>
      <c r="R51" s="17">
        <f t="shared" si="1"/>
        <v>7.5</v>
      </c>
      <c r="S51" s="6" t="s">
        <v>90</v>
      </c>
      <c r="T51" s="7"/>
    </row>
    <row r="52" spans="1:20">
      <c r="A52" s="6">
        <v>51</v>
      </c>
      <c r="B52" s="6" t="s">
        <v>79</v>
      </c>
      <c r="C52" s="6" t="s">
        <v>80</v>
      </c>
      <c r="D52" s="6" t="s">
        <v>92</v>
      </c>
      <c r="E52" s="15">
        <v>120</v>
      </c>
      <c r="F52" s="14" t="s">
        <v>31</v>
      </c>
      <c r="G52" s="14" t="s">
        <v>31</v>
      </c>
      <c r="H52" s="18">
        <v>1</v>
      </c>
      <c r="I52" s="18">
        <v>1</v>
      </c>
      <c r="J52" s="18">
        <v>0</v>
      </c>
      <c r="K52" s="18">
        <v>0.95</v>
      </c>
      <c r="L52" s="18">
        <v>1</v>
      </c>
      <c r="M52" s="18">
        <v>1</v>
      </c>
      <c r="N52" s="18">
        <v>1</v>
      </c>
      <c r="O52" s="18">
        <v>1</v>
      </c>
      <c r="P52" s="18">
        <v>1</v>
      </c>
      <c r="Q52" s="18">
        <v>1</v>
      </c>
      <c r="R52" s="17">
        <f t="shared" si="1"/>
        <v>8.9499999999999993</v>
      </c>
      <c r="S52" s="6" t="s">
        <v>90</v>
      </c>
      <c r="T52" s="7"/>
    </row>
    <row r="53" spans="1:20">
      <c r="A53" s="6">
        <v>52</v>
      </c>
      <c r="B53" s="6" t="s">
        <v>79</v>
      </c>
      <c r="C53" s="6" t="s">
        <v>80</v>
      </c>
      <c r="D53" s="6" t="s">
        <v>93</v>
      </c>
      <c r="E53" s="15">
        <v>30</v>
      </c>
      <c r="F53" s="14" t="s">
        <v>89</v>
      </c>
      <c r="G53" s="14" t="s">
        <v>89</v>
      </c>
      <c r="H53" s="18">
        <v>0</v>
      </c>
      <c r="I53" s="18">
        <v>1</v>
      </c>
      <c r="J53" s="18">
        <v>0</v>
      </c>
      <c r="K53" s="18">
        <v>0</v>
      </c>
      <c r="L53" s="18">
        <v>1</v>
      </c>
      <c r="M53" s="18">
        <v>1</v>
      </c>
      <c r="N53" s="18">
        <v>0</v>
      </c>
      <c r="O53" s="18">
        <v>1</v>
      </c>
      <c r="P53" s="18">
        <v>1</v>
      </c>
      <c r="Q53" s="18">
        <v>1</v>
      </c>
      <c r="R53" s="17">
        <f t="shared" si="1"/>
        <v>6</v>
      </c>
      <c r="S53" s="6" t="s">
        <v>90</v>
      </c>
      <c r="T53" s="7"/>
    </row>
    <row r="54" spans="1:20">
      <c r="A54" s="6">
        <v>53</v>
      </c>
      <c r="B54" s="6" t="s">
        <v>79</v>
      </c>
      <c r="C54" s="6" t="s">
        <v>80</v>
      </c>
      <c r="D54" s="6" t="s">
        <v>93</v>
      </c>
      <c r="E54" s="15">
        <v>30</v>
      </c>
      <c r="F54" s="14" t="s">
        <v>31</v>
      </c>
      <c r="G54" s="14" t="s">
        <v>31</v>
      </c>
      <c r="H54" s="18">
        <v>0.5</v>
      </c>
      <c r="I54" s="18">
        <v>1</v>
      </c>
      <c r="J54" s="18">
        <v>0.5</v>
      </c>
      <c r="K54" s="18">
        <v>0.1</v>
      </c>
      <c r="L54" s="18">
        <v>1</v>
      </c>
      <c r="M54" s="18">
        <v>1</v>
      </c>
      <c r="N54" s="18">
        <v>1</v>
      </c>
      <c r="O54" s="18">
        <v>1</v>
      </c>
      <c r="P54" s="18">
        <v>1</v>
      </c>
      <c r="Q54" s="18">
        <v>1</v>
      </c>
      <c r="R54" s="17">
        <f t="shared" si="1"/>
        <v>8.1</v>
      </c>
      <c r="S54" s="6" t="s">
        <v>90</v>
      </c>
      <c r="T54" s="7"/>
    </row>
    <row r="55" spans="1:20">
      <c r="A55" s="6">
        <v>54</v>
      </c>
      <c r="B55" s="6" t="s">
        <v>76</v>
      </c>
      <c r="C55" s="6" t="s">
        <v>77</v>
      </c>
      <c r="D55" s="6" t="s">
        <v>94</v>
      </c>
      <c r="E55" s="8" t="s">
        <v>30</v>
      </c>
      <c r="F55" s="9" t="s">
        <v>119</v>
      </c>
      <c r="G55" s="9" t="s">
        <v>33</v>
      </c>
      <c r="H55" s="18">
        <v>1</v>
      </c>
      <c r="I55" s="18">
        <v>1</v>
      </c>
      <c r="J55" s="18">
        <v>1</v>
      </c>
      <c r="K55" s="18">
        <v>0.1</v>
      </c>
      <c r="L55" s="18">
        <v>1</v>
      </c>
      <c r="M55" s="18">
        <v>1</v>
      </c>
      <c r="N55" s="18">
        <v>1</v>
      </c>
      <c r="O55" s="18">
        <v>1</v>
      </c>
      <c r="P55" s="18">
        <v>1</v>
      </c>
      <c r="Q55" s="18">
        <v>1</v>
      </c>
      <c r="R55" s="17">
        <f t="shared" si="1"/>
        <v>9.1</v>
      </c>
      <c r="S55" s="6" t="s">
        <v>42</v>
      </c>
      <c r="T55" s="7"/>
    </row>
    <row r="56" spans="1:20">
      <c r="A56" s="6">
        <v>55</v>
      </c>
      <c r="B56" s="7" t="s">
        <v>96</v>
      </c>
      <c r="C56" s="6" t="s">
        <v>95</v>
      </c>
      <c r="D56" s="6" t="s">
        <v>98</v>
      </c>
      <c r="E56" s="15">
        <v>1000</v>
      </c>
      <c r="F56" s="9" t="s">
        <v>119</v>
      </c>
      <c r="G56" s="9" t="s">
        <v>33</v>
      </c>
      <c r="H56" s="18">
        <v>1</v>
      </c>
      <c r="I56" s="18">
        <v>1</v>
      </c>
      <c r="J56" s="18">
        <v>0.95</v>
      </c>
      <c r="K56" s="18">
        <v>0.1</v>
      </c>
      <c r="L56" s="18">
        <v>1</v>
      </c>
      <c r="M56" s="18">
        <v>1</v>
      </c>
      <c r="N56" s="18">
        <v>1</v>
      </c>
      <c r="O56" s="18">
        <v>1</v>
      </c>
      <c r="P56" s="18">
        <v>1</v>
      </c>
      <c r="Q56" s="18">
        <v>1</v>
      </c>
      <c r="R56" s="17">
        <f t="shared" si="1"/>
        <v>9.0500000000000007</v>
      </c>
      <c r="S56" s="6" t="s">
        <v>42</v>
      </c>
      <c r="T56" s="7"/>
    </row>
    <row r="57" spans="1:20">
      <c r="A57" s="6">
        <v>56</v>
      </c>
      <c r="B57" s="6" t="s">
        <v>63</v>
      </c>
      <c r="C57" s="6" t="s">
        <v>68</v>
      </c>
      <c r="D57" s="6" t="s">
        <v>97</v>
      </c>
      <c r="E57" s="8">
        <v>9</v>
      </c>
      <c r="F57" s="9" t="s">
        <v>31</v>
      </c>
      <c r="G57" s="9" t="s">
        <v>31</v>
      </c>
      <c r="H57" s="18">
        <v>1</v>
      </c>
      <c r="I57" s="18">
        <v>1</v>
      </c>
      <c r="J57" s="18">
        <v>1</v>
      </c>
      <c r="K57" s="18">
        <v>0.75</v>
      </c>
      <c r="L57" s="18">
        <v>1</v>
      </c>
      <c r="M57" s="18">
        <v>1</v>
      </c>
      <c r="N57" s="18">
        <v>1</v>
      </c>
      <c r="O57" s="18">
        <v>1</v>
      </c>
      <c r="P57" s="18">
        <v>1</v>
      </c>
      <c r="Q57" s="18">
        <v>1</v>
      </c>
      <c r="R57" s="17">
        <f t="shared" si="1"/>
        <v>9.75</v>
      </c>
      <c r="S57" s="6" t="s">
        <v>39</v>
      </c>
      <c r="T57" s="7"/>
    </row>
    <row r="58" spans="1:20">
      <c r="A58" s="6">
        <v>57</v>
      </c>
      <c r="B58" s="6" t="s">
        <v>63</v>
      </c>
      <c r="C58" s="6" t="s">
        <v>68</v>
      </c>
      <c r="D58" s="6" t="s">
        <v>99</v>
      </c>
      <c r="E58" s="8">
        <v>9</v>
      </c>
      <c r="F58" s="9" t="s">
        <v>31</v>
      </c>
      <c r="G58" s="9" t="s">
        <v>31</v>
      </c>
      <c r="H58" s="18">
        <v>1</v>
      </c>
      <c r="I58" s="18">
        <v>1</v>
      </c>
      <c r="J58" s="18">
        <v>1</v>
      </c>
      <c r="K58" s="18">
        <v>0.75</v>
      </c>
      <c r="L58" s="18">
        <v>1</v>
      </c>
      <c r="M58" s="18">
        <v>1</v>
      </c>
      <c r="N58" s="18">
        <v>1</v>
      </c>
      <c r="O58" s="18">
        <v>1</v>
      </c>
      <c r="P58" s="18">
        <v>1</v>
      </c>
      <c r="Q58" s="18">
        <v>1</v>
      </c>
      <c r="R58" s="17">
        <f t="shared" si="1"/>
        <v>9.75</v>
      </c>
      <c r="S58" s="6" t="s">
        <v>39</v>
      </c>
      <c r="T58" s="7"/>
    </row>
    <row r="59" spans="1:20">
      <c r="A59" s="6">
        <v>58</v>
      </c>
      <c r="B59" s="6" t="s">
        <v>63</v>
      </c>
      <c r="C59" s="6" t="s">
        <v>68</v>
      </c>
      <c r="D59" s="6" t="s">
        <v>100</v>
      </c>
      <c r="E59" s="15">
        <v>27</v>
      </c>
      <c r="F59" s="9" t="s">
        <v>31</v>
      </c>
      <c r="G59" s="9" t="s">
        <v>31</v>
      </c>
      <c r="H59" s="18">
        <v>1</v>
      </c>
      <c r="I59" s="18">
        <v>1</v>
      </c>
      <c r="J59" s="18">
        <v>0.95</v>
      </c>
      <c r="K59" s="18">
        <v>0.75</v>
      </c>
      <c r="L59" s="18">
        <v>1</v>
      </c>
      <c r="M59" s="18">
        <v>1</v>
      </c>
      <c r="N59" s="18">
        <v>1</v>
      </c>
      <c r="O59" s="18">
        <v>1</v>
      </c>
      <c r="P59" s="18">
        <v>1</v>
      </c>
      <c r="Q59" s="18">
        <v>1</v>
      </c>
      <c r="R59" s="17">
        <f t="shared" si="1"/>
        <v>9.6999999999999993</v>
      </c>
      <c r="S59" s="6" t="s">
        <v>39</v>
      </c>
      <c r="T59" s="7" t="s">
        <v>103</v>
      </c>
    </row>
    <row r="60" spans="1:20">
      <c r="A60" s="6">
        <v>59</v>
      </c>
      <c r="B60" s="6" t="s">
        <v>63</v>
      </c>
      <c r="C60" s="6" t="s">
        <v>68</v>
      </c>
      <c r="D60" s="6" t="s">
        <v>102</v>
      </c>
      <c r="E60" s="15">
        <v>35</v>
      </c>
      <c r="F60" s="9" t="s">
        <v>31</v>
      </c>
      <c r="G60" s="9" t="s">
        <v>31</v>
      </c>
      <c r="H60" s="18">
        <v>1</v>
      </c>
      <c r="I60" s="18">
        <v>1</v>
      </c>
      <c r="J60" s="18">
        <v>0.95</v>
      </c>
      <c r="K60" s="18">
        <v>0.75</v>
      </c>
      <c r="L60" s="18">
        <v>1</v>
      </c>
      <c r="M60" s="18">
        <v>1</v>
      </c>
      <c r="N60" s="18">
        <v>1</v>
      </c>
      <c r="O60" s="18">
        <v>1</v>
      </c>
      <c r="P60" s="18">
        <v>1</v>
      </c>
      <c r="Q60" s="18">
        <v>1</v>
      </c>
      <c r="R60" s="17">
        <f t="shared" si="1"/>
        <v>9.6999999999999993</v>
      </c>
      <c r="S60" s="6" t="s">
        <v>39</v>
      </c>
      <c r="T60" s="7" t="s">
        <v>103</v>
      </c>
    </row>
    <row r="61" spans="1:20">
      <c r="A61" s="6">
        <v>60</v>
      </c>
      <c r="B61" s="6" t="s">
        <v>63</v>
      </c>
      <c r="C61" s="6" t="s">
        <v>68</v>
      </c>
      <c r="D61" s="6" t="s">
        <v>97</v>
      </c>
      <c r="E61" s="8">
        <v>9</v>
      </c>
      <c r="F61" s="14" t="s">
        <v>89</v>
      </c>
      <c r="G61" s="14" t="s">
        <v>89</v>
      </c>
      <c r="H61" s="18">
        <v>1</v>
      </c>
      <c r="I61" s="18">
        <v>1</v>
      </c>
      <c r="J61" s="18">
        <v>0.8</v>
      </c>
      <c r="K61" s="18">
        <v>0</v>
      </c>
      <c r="L61" s="18">
        <v>1</v>
      </c>
      <c r="M61" s="18">
        <v>0</v>
      </c>
      <c r="N61" s="18">
        <v>0.75</v>
      </c>
      <c r="O61" s="18">
        <v>1</v>
      </c>
      <c r="P61" s="18">
        <v>1</v>
      </c>
      <c r="Q61" s="18">
        <v>1</v>
      </c>
      <c r="R61" s="17">
        <f t="shared" si="1"/>
        <v>7.55</v>
      </c>
      <c r="S61" s="6" t="s">
        <v>39</v>
      </c>
      <c r="T61" s="7" t="s">
        <v>101</v>
      </c>
    </row>
    <row r="62" spans="1:20">
      <c r="A62" s="6">
        <v>61</v>
      </c>
      <c r="B62" s="6" t="s">
        <v>63</v>
      </c>
      <c r="C62" s="6" t="s">
        <v>68</v>
      </c>
      <c r="D62" s="6" t="s">
        <v>99</v>
      </c>
      <c r="E62" s="8">
        <v>9</v>
      </c>
      <c r="F62" s="14" t="s">
        <v>89</v>
      </c>
      <c r="G62" s="14" t="s">
        <v>89</v>
      </c>
      <c r="H62" s="18">
        <v>1</v>
      </c>
      <c r="I62" s="18">
        <v>1</v>
      </c>
      <c r="J62" s="18">
        <v>0.8</v>
      </c>
      <c r="K62" s="18">
        <v>0</v>
      </c>
      <c r="L62" s="18">
        <v>1</v>
      </c>
      <c r="M62" s="18">
        <v>1</v>
      </c>
      <c r="N62" s="18">
        <v>1</v>
      </c>
      <c r="O62" s="18">
        <v>1</v>
      </c>
      <c r="P62" s="18">
        <v>1</v>
      </c>
      <c r="Q62" s="18">
        <v>1</v>
      </c>
      <c r="R62" s="17">
        <f t="shared" si="1"/>
        <v>8.8000000000000007</v>
      </c>
      <c r="S62" s="6" t="s">
        <v>39</v>
      </c>
      <c r="T62" s="7" t="s">
        <v>101</v>
      </c>
    </row>
    <row r="63" spans="1:20">
      <c r="A63" s="6">
        <v>62</v>
      </c>
      <c r="B63" s="6" t="s">
        <v>63</v>
      </c>
      <c r="C63" s="6" t="s">
        <v>68</v>
      </c>
      <c r="D63" s="6" t="s">
        <v>100</v>
      </c>
      <c r="E63" s="15">
        <v>27</v>
      </c>
      <c r="F63" s="14" t="s">
        <v>89</v>
      </c>
      <c r="G63" s="14" t="s">
        <v>89</v>
      </c>
      <c r="H63" s="18">
        <v>1</v>
      </c>
      <c r="I63" s="18">
        <v>1</v>
      </c>
      <c r="J63" s="18">
        <v>0.95</v>
      </c>
      <c r="K63" s="18">
        <v>1</v>
      </c>
      <c r="L63" s="18">
        <v>1</v>
      </c>
      <c r="M63" s="18">
        <v>1</v>
      </c>
      <c r="N63" s="18">
        <v>1</v>
      </c>
      <c r="O63" s="18">
        <v>1</v>
      </c>
      <c r="P63" s="18">
        <v>1</v>
      </c>
      <c r="Q63" s="18">
        <v>1</v>
      </c>
      <c r="R63" s="17">
        <f t="shared" si="1"/>
        <v>9.9499999999999993</v>
      </c>
      <c r="S63" s="6" t="s">
        <v>105</v>
      </c>
      <c r="T63" s="7" t="s">
        <v>107</v>
      </c>
    </row>
    <row r="64" spans="1:20">
      <c r="A64" s="6">
        <v>63</v>
      </c>
      <c r="B64" s="6" t="s">
        <v>63</v>
      </c>
      <c r="C64" s="6" t="s">
        <v>68</v>
      </c>
      <c r="D64" s="6" t="s">
        <v>102</v>
      </c>
      <c r="E64" s="15">
        <v>35</v>
      </c>
      <c r="F64" s="14" t="s">
        <v>89</v>
      </c>
      <c r="G64" s="14" t="s">
        <v>89</v>
      </c>
      <c r="H64" s="18">
        <v>0</v>
      </c>
      <c r="I64" s="18">
        <v>1</v>
      </c>
      <c r="J64" s="18">
        <v>1</v>
      </c>
      <c r="K64" s="18">
        <v>0.95</v>
      </c>
      <c r="L64" s="18">
        <v>1</v>
      </c>
      <c r="M64" s="18">
        <v>1</v>
      </c>
      <c r="N64" s="18">
        <v>1</v>
      </c>
      <c r="O64" s="18">
        <v>1</v>
      </c>
      <c r="P64" s="18">
        <v>1</v>
      </c>
      <c r="Q64" s="18">
        <v>1</v>
      </c>
      <c r="R64" s="17">
        <f t="shared" si="1"/>
        <v>8.9499999999999993</v>
      </c>
      <c r="S64" s="6" t="s">
        <v>39</v>
      </c>
      <c r="T64" s="7" t="s">
        <v>104</v>
      </c>
    </row>
    <row r="65" spans="1:21">
      <c r="A65" s="6">
        <v>64</v>
      </c>
      <c r="B65" s="6" t="s">
        <v>79</v>
      </c>
      <c r="C65" s="6" t="s">
        <v>80</v>
      </c>
      <c r="D65" s="6" t="s">
        <v>108</v>
      </c>
      <c r="E65" s="15">
        <v>30</v>
      </c>
      <c r="F65" s="14" t="s">
        <v>31</v>
      </c>
      <c r="G65" s="14" t="s">
        <v>31</v>
      </c>
      <c r="H65" s="18">
        <v>0</v>
      </c>
      <c r="I65" s="18">
        <v>1</v>
      </c>
      <c r="J65" s="18">
        <v>0.95</v>
      </c>
      <c r="K65" s="18">
        <v>0.5</v>
      </c>
      <c r="L65" s="18">
        <v>1</v>
      </c>
      <c r="M65" s="18">
        <v>1</v>
      </c>
      <c r="N65" s="18">
        <v>0.5</v>
      </c>
      <c r="O65" s="18">
        <v>1</v>
      </c>
      <c r="P65" s="18">
        <v>1</v>
      </c>
      <c r="Q65" s="18">
        <v>1</v>
      </c>
      <c r="R65" s="17">
        <f t="shared" si="1"/>
        <v>7.95</v>
      </c>
      <c r="S65" s="6" t="s">
        <v>39</v>
      </c>
      <c r="T65" s="7" t="s">
        <v>109</v>
      </c>
    </row>
    <row r="66" spans="1:21">
      <c r="A66" s="6">
        <v>65</v>
      </c>
      <c r="B66" s="6" t="s">
        <v>65</v>
      </c>
      <c r="C66" s="7" t="s">
        <v>113</v>
      </c>
      <c r="D66" s="7" t="s">
        <v>114</v>
      </c>
      <c r="E66" s="15">
        <v>26</v>
      </c>
      <c r="F66" s="9" t="s">
        <v>119</v>
      </c>
      <c r="G66" s="9" t="s">
        <v>33</v>
      </c>
      <c r="H66" s="18">
        <v>1</v>
      </c>
      <c r="I66" s="18">
        <v>1</v>
      </c>
      <c r="J66" s="18">
        <v>0.95</v>
      </c>
      <c r="K66" s="18">
        <v>0.95</v>
      </c>
      <c r="L66" s="18">
        <v>1</v>
      </c>
      <c r="M66" s="18">
        <v>1</v>
      </c>
      <c r="N66" s="18">
        <v>1</v>
      </c>
      <c r="O66" s="18">
        <v>1</v>
      </c>
      <c r="P66" s="18">
        <v>1</v>
      </c>
      <c r="Q66" s="18">
        <v>1</v>
      </c>
      <c r="R66" s="17">
        <f t="shared" ref="R66:R68" si="2">SUM(H66:Q66)</f>
        <v>9.9</v>
      </c>
      <c r="S66" s="6" t="s">
        <v>42</v>
      </c>
      <c r="T66" s="16" t="s">
        <v>111</v>
      </c>
    </row>
    <row r="67" spans="1:21">
      <c r="A67" s="6">
        <v>66</v>
      </c>
      <c r="B67" s="6" t="s">
        <v>65</v>
      </c>
      <c r="C67" s="7" t="s">
        <v>113</v>
      </c>
      <c r="D67" s="7" t="s">
        <v>112</v>
      </c>
      <c r="E67" s="15">
        <v>31</v>
      </c>
      <c r="F67" s="9" t="s">
        <v>119</v>
      </c>
      <c r="G67" s="9" t="s">
        <v>33</v>
      </c>
      <c r="H67" s="18">
        <v>1</v>
      </c>
      <c r="I67" s="18">
        <v>1</v>
      </c>
      <c r="J67" s="18">
        <v>1</v>
      </c>
      <c r="K67" s="18">
        <v>1</v>
      </c>
      <c r="L67" s="18">
        <v>1</v>
      </c>
      <c r="M67" s="18">
        <v>1</v>
      </c>
      <c r="N67" s="18">
        <v>1</v>
      </c>
      <c r="O67" s="18">
        <v>1</v>
      </c>
      <c r="P67" s="18">
        <v>1</v>
      </c>
      <c r="Q67" s="18">
        <v>1</v>
      </c>
      <c r="R67" s="17">
        <f t="shared" si="2"/>
        <v>10</v>
      </c>
      <c r="S67" s="6" t="s">
        <v>42</v>
      </c>
      <c r="T67" s="16" t="s">
        <v>111</v>
      </c>
    </row>
    <row r="68" spans="1:21">
      <c r="A68" s="6">
        <v>67</v>
      </c>
      <c r="B68" s="6" t="s">
        <v>63</v>
      </c>
      <c r="C68" s="6" t="s">
        <v>117</v>
      </c>
      <c r="D68" s="6" t="s">
        <v>116</v>
      </c>
      <c r="E68" s="8" t="s">
        <v>22</v>
      </c>
      <c r="F68" s="9" t="s">
        <v>119</v>
      </c>
      <c r="G68" s="9" t="s">
        <v>31</v>
      </c>
      <c r="H68" s="12">
        <v>1</v>
      </c>
      <c r="I68" s="12">
        <v>1</v>
      </c>
      <c r="J68" s="12">
        <v>1</v>
      </c>
      <c r="K68" s="18">
        <v>0.95</v>
      </c>
      <c r="L68" s="12">
        <v>1</v>
      </c>
      <c r="M68" s="12">
        <v>1</v>
      </c>
      <c r="N68" s="12">
        <v>1</v>
      </c>
      <c r="O68" s="12">
        <v>1</v>
      </c>
      <c r="P68" s="12">
        <v>1</v>
      </c>
      <c r="Q68" s="12">
        <v>1</v>
      </c>
      <c r="R68" s="17">
        <f t="shared" si="2"/>
        <v>9.9499999999999993</v>
      </c>
      <c r="S68" s="6" t="s">
        <v>41</v>
      </c>
      <c r="T68" s="7"/>
    </row>
    <row r="69" spans="1:21">
      <c r="A69" s="6">
        <v>68</v>
      </c>
      <c r="B69" s="6" t="s">
        <v>63</v>
      </c>
      <c r="C69" s="6" t="s">
        <v>117</v>
      </c>
      <c r="D69" s="6" t="s">
        <v>116</v>
      </c>
      <c r="E69" s="8" t="s">
        <v>22</v>
      </c>
      <c r="F69" s="14" t="s">
        <v>89</v>
      </c>
      <c r="G69" s="9" t="s">
        <v>78</v>
      </c>
      <c r="H69" s="12">
        <v>0</v>
      </c>
      <c r="I69" s="12">
        <v>1</v>
      </c>
      <c r="J69" s="12">
        <v>1</v>
      </c>
      <c r="K69" s="12">
        <v>0</v>
      </c>
      <c r="L69" s="12">
        <v>1</v>
      </c>
      <c r="M69" s="18">
        <v>0.75</v>
      </c>
      <c r="N69" s="12">
        <v>1</v>
      </c>
      <c r="O69" s="12">
        <v>1</v>
      </c>
      <c r="P69" s="12">
        <v>1</v>
      </c>
      <c r="Q69" s="12">
        <v>1</v>
      </c>
      <c r="R69" s="13">
        <f t="shared" ref="R69" si="3">SUM(H69:Q69)</f>
        <v>7.75</v>
      </c>
      <c r="S69" s="6" t="s">
        <v>41</v>
      </c>
      <c r="T69" s="7"/>
    </row>
    <row r="70" spans="1:21">
      <c r="A70" s="6">
        <v>69</v>
      </c>
      <c r="B70" s="6" t="s">
        <v>120</v>
      </c>
      <c r="C70" s="6" t="s">
        <v>121</v>
      </c>
      <c r="D70" s="6" t="s">
        <v>124</v>
      </c>
      <c r="E70" s="8">
        <v>8</v>
      </c>
      <c r="F70" s="9" t="s">
        <v>31</v>
      </c>
      <c r="G70" s="9" t="s">
        <v>31</v>
      </c>
      <c r="H70" s="18">
        <v>0.1</v>
      </c>
      <c r="I70" s="12">
        <v>1</v>
      </c>
      <c r="J70" s="12">
        <v>1</v>
      </c>
      <c r="K70" s="12">
        <v>0</v>
      </c>
      <c r="L70" s="18">
        <v>0.5</v>
      </c>
      <c r="M70" s="18">
        <v>0.5</v>
      </c>
      <c r="N70" s="12">
        <v>1</v>
      </c>
      <c r="O70" s="12">
        <v>1</v>
      </c>
      <c r="P70" s="12">
        <v>1</v>
      </c>
      <c r="Q70" s="12">
        <v>0.25</v>
      </c>
      <c r="R70" s="13">
        <f t="shared" ref="R70:R74" si="4">SUM(H70:Q70)</f>
        <v>6.35</v>
      </c>
      <c r="S70" s="6" t="s">
        <v>39</v>
      </c>
      <c r="T70" s="7" t="s">
        <v>109</v>
      </c>
      <c r="U70" t="s">
        <v>127</v>
      </c>
    </row>
    <row r="71" spans="1:21">
      <c r="A71" s="6">
        <v>70</v>
      </c>
      <c r="B71" s="6" t="s">
        <v>120</v>
      </c>
      <c r="C71" s="6" t="s">
        <v>121</v>
      </c>
      <c r="D71" s="6" t="s">
        <v>125</v>
      </c>
      <c r="E71" s="8">
        <v>8</v>
      </c>
      <c r="F71" s="9" t="s">
        <v>31</v>
      </c>
      <c r="G71" s="9" t="s">
        <v>31</v>
      </c>
      <c r="H71" s="18">
        <v>1</v>
      </c>
      <c r="I71" s="12">
        <v>1</v>
      </c>
      <c r="J71" s="12">
        <v>0.9</v>
      </c>
      <c r="K71" s="12">
        <v>0.75</v>
      </c>
      <c r="L71" s="18">
        <v>1</v>
      </c>
      <c r="M71" s="18">
        <v>1</v>
      </c>
      <c r="N71" s="12">
        <v>1</v>
      </c>
      <c r="O71" s="12">
        <v>1</v>
      </c>
      <c r="P71" s="12">
        <v>1</v>
      </c>
      <c r="Q71" s="12">
        <v>1</v>
      </c>
      <c r="R71" s="13">
        <f t="shared" ref="R71" si="5">SUM(H71:Q71)</f>
        <v>9.65</v>
      </c>
      <c r="S71" s="6" t="s">
        <v>39</v>
      </c>
      <c r="T71" s="7" t="s">
        <v>109</v>
      </c>
      <c r="U71" t="s">
        <v>127</v>
      </c>
    </row>
    <row r="72" spans="1:21">
      <c r="A72" s="6">
        <v>71</v>
      </c>
      <c r="B72" s="6" t="s">
        <v>120</v>
      </c>
      <c r="C72" s="6" t="s">
        <v>121</v>
      </c>
      <c r="D72" s="6" t="s">
        <v>126</v>
      </c>
      <c r="E72" s="8">
        <v>31</v>
      </c>
      <c r="F72" s="9" t="s">
        <v>31</v>
      </c>
      <c r="G72" s="9" t="s">
        <v>31</v>
      </c>
      <c r="H72" s="18">
        <v>0.5</v>
      </c>
      <c r="I72" s="12">
        <v>1</v>
      </c>
      <c r="J72" s="12">
        <v>1</v>
      </c>
      <c r="K72" s="12">
        <v>0.5</v>
      </c>
      <c r="L72" s="12">
        <v>1</v>
      </c>
      <c r="M72" s="12">
        <v>1</v>
      </c>
      <c r="N72" s="12">
        <v>1</v>
      </c>
      <c r="O72" s="12">
        <v>1</v>
      </c>
      <c r="P72" s="12">
        <v>1</v>
      </c>
      <c r="Q72" s="12">
        <v>1</v>
      </c>
      <c r="R72" s="13">
        <f t="shared" si="4"/>
        <v>9</v>
      </c>
      <c r="S72" s="6" t="s">
        <v>39</v>
      </c>
      <c r="T72" s="7" t="s">
        <v>109</v>
      </c>
      <c r="U72" t="s">
        <v>127</v>
      </c>
    </row>
    <row r="73" spans="1:21">
      <c r="A73" s="6">
        <v>72</v>
      </c>
      <c r="B73" s="6" t="s">
        <v>65</v>
      </c>
      <c r="C73" s="7" t="s">
        <v>113</v>
      </c>
      <c r="D73" s="7" t="s">
        <v>114</v>
      </c>
      <c r="E73" s="15">
        <v>26</v>
      </c>
      <c r="F73" s="9" t="s">
        <v>31</v>
      </c>
      <c r="G73" s="9" t="s">
        <v>31</v>
      </c>
      <c r="H73" s="18">
        <v>1</v>
      </c>
      <c r="I73" s="18">
        <v>1</v>
      </c>
      <c r="J73" s="18">
        <v>0.9</v>
      </c>
      <c r="K73" s="18">
        <v>0.3</v>
      </c>
      <c r="L73" s="18">
        <v>1</v>
      </c>
      <c r="M73" s="18">
        <v>1</v>
      </c>
      <c r="N73" s="18">
        <v>1</v>
      </c>
      <c r="O73" s="18">
        <v>1</v>
      </c>
      <c r="P73" s="18">
        <v>1</v>
      </c>
      <c r="Q73" s="18">
        <v>1</v>
      </c>
      <c r="R73" s="17">
        <f t="shared" si="4"/>
        <v>9.1999999999999993</v>
      </c>
      <c r="S73" s="6" t="s">
        <v>39</v>
      </c>
      <c r="T73" s="7" t="s">
        <v>109</v>
      </c>
      <c r="U73" t="s">
        <v>122</v>
      </c>
    </row>
    <row r="74" spans="1:21">
      <c r="A74" s="6">
        <v>73</v>
      </c>
      <c r="B74" s="6" t="s">
        <v>65</v>
      </c>
      <c r="C74" s="7" t="s">
        <v>113</v>
      </c>
      <c r="D74" s="7" t="s">
        <v>114</v>
      </c>
      <c r="E74" s="15">
        <v>26</v>
      </c>
      <c r="F74" s="14" t="s">
        <v>89</v>
      </c>
      <c r="G74" s="14" t="s">
        <v>89</v>
      </c>
      <c r="H74" s="18">
        <v>0</v>
      </c>
      <c r="I74" s="18">
        <v>1</v>
      </c>
      <c r="J74" s="18">
        <v>0.1</v>
      </c>
      <c r="K74" s="18">
        <v>0.1</v>
      </c>
      <c r="L74" s="18">
        <v>1</v>
      </c>
      <c r="M74" s="18">
        <v>0</v>
      </c>
      <c r="N74" s="18">
        <v>1</v>
      </c>
      <c r="O74" s="18">
        <v>1</v>
      </c>
      <c r="P74" s="18">
        <v>1</v>
      </c>
      <c r="Q74" s="18">
        <v>1</v>
      </c>
      <c r="R74" s="17">
        <f t="shared" si="4"/>
        <v>6.2</v>
      </c>
      <c r="S74" s="6" t="s">
        <v>39</v>
      </c>
      <c r="T74" s="7" t="s">
        <v>109</v>
      </c>
      <c r="U74" t="s">
        <v>122</v>
      </c>
    </row>
    <row r="75" spans="1:21">
      <c r="A75" s="6">
        <v>74</v>
      </c>
      <c r="B75" s="6" t="s">
        <v>65</v>
      </c>
      <c r="C75" s="7" t="s">
        <v>113</v>
      </c>
      <c r="D75" s="7" t="s">
        <v>123</v>
      </c>
      <c r="E75" s="15">
        <v>8</v>
      </c>
      <c r="F75" s="9" t="s">
        <v>31</v>
      </c>
      <c r="G75" s="9" t="s">
        <v>31</v>
      </c>
      <c r="H75" s="18">
        <v>0</v>
      </c>
      <c r="I75" s="18">
        <v>1</v>
      </c>
      <c r="J75" s="18">
        <v>0.95</v>
      </c>
      <c r="K75" s="18">
        <v>0.3</v>
      </c>
      <c r="L75" s="18">
        <v>1</v>
      </c>
      <c r="M75" s="18">
        <v>1</v>
      </c>
      <c r="N75" s="18">
        <v>1</v>
      </c>
      <c r="O75" s="18">
        <v>1</v>
      </c>
      <c r="P75" s="18">
        <v>1</v>
      </c>
      <c r="Q75" s="18">
        <v>1</v>
      </c>
      <c r="R75" s="17">
        <f t="shared" ref="R75:R78" si="6">SUM(H75:Q75)</f>
        <v>8.25</v>
      </c>
      <c r="S75" s="6" t="s">
        <v>39</v>
      </c>
      <c r="T75" s="7" t="s">
        <v>109</v>
      </c>
      <c r="U75" t="s">
        <v>122</v>
      </c>
    </row>
    <row r="76" spans="1:21">
      <c r="A76" s="6">
        <v>75</v>
      </c>
      <c r="B76" s="6" t="s">
        <v>85</v>
      </c>
      <c r="C76" s="6" t="s">
        <v>128</v>
      </c>
      <c r="D76" s="6" t="s">
        <v>129</v>
      </c>
      <c r="E76" s="8">
        <v>754</v>
      </c>
      <c r="F76" s="14" t="s">
        <v>31</v>
      </c>
      <c r="G76" s="9" t="s">
        <v>33</v>
      </c>
      <c r="H76" s="18">
        <v>1</v>
      </c>
      <c r="I76" s="18">
        <v>1</v>
      </c>
      <c r="J76" s="18">
        <v>0.95</v>
      </c>
      <c r="K76" s="12">
        <v>0.5</v>
      </c>
      <c r="L76" s="18">
        <v>1</v>
      </c>
      <c r="M76" s="18">
        <v>1</v>
      </c>
      <c r="N76" s="18">
        <v>1</v>
      </c>
      <c r="O76" s="18">
        <v>1</v>
      </c>
      <c r="P76" s="18">
        <v>1</v>
      </c>
      <c r="Q76" s="18">
        <v>1</v>
      </c>
      <c r="R76" s="17">
        <f t="shared" si="6"/>
        <v>9.4499999999999993</v>
      </c>
      <c r="S76" s="6" t="s">
        <v>42</v>
      </c>
      <c r="T76" s="7"/>
    </row>
    <row r="77" spans="1:21">
      <c r="A77" s="6">
        <v>76</v>
      </c>
      <c r="B77" s="6" t="s">
        <v>120</v>
      </c>
      <c r="C77" s="6" t="s">
        <v>130</v>
      </c>
      <c r="D77" s="6" t="s">
        <v>132</v>
      </c>
      <c r="E77" s="8">
        <v>7.2</v>
      </c>
      <c r="F77" s="9" t="s">
        <v>89</v>
      </c>
      <c r="G77" s="9" t="s">
        <v>89</v>
      </c>
      <c r="H77" s="18">
        <v>0</v>
      </c>
      <c r="I77" s="12">
        <v>1</v>
      </c>
      <c r="J77" s="12">
        <v>0</v>
      </c>
      <c r="K77" s="12">
        <v>0</v>
      </c>
      <c r="L77" s="18">
        <v>0</v>
      </c>
      <c r="M77" s="18">
        <v>0</v>
      </c>
      <c r="N77" s="12">
        <v>0</v>
      </c>
      <c r="O77" s="12">
        <v>0</v>
      </c>
      <c r="P77" s="12">
        <v>1</v>
      </c>
      <c r="Q77" s="12">
        <v>1</v>
      </c>
      <c r="R77" s="13">
        <f t="shared" si="6"/>
        <v>3</v>
      </c>
      <c r="S77" s="6" t="s">
        <v>39</v>
      </c>
      <c r="T77" s="7" t="s">
        <v>109</v>
      </c>
      <c r="U77" t="s">
        <v>127</v>
      </c>
    </row>
    <row r="78" spans="1:21">
      <c r="A78" s="6">
        <v>77</v>
      </c>
      <c r="B78" s="6" t="s">
        <v>120</v>
      </c>
      <c r="C78" s="6" t="s">
        <v>131</v>
      </c>
      <c r="D78" s="6" t="s">
        <v>133</v>
      </c>
      <c r="E78" s="8">
        <v>13</v>
      </c>
      <c r="F78" s="9" t="s">
        <v>89</v>
      </c>
      <c r="G78" s="9" t="s">
        <v>89</v>
      </c>
      <c r="H78" s="18">
        <v>0</v>
      </c>
      <c r="I78" s="12">
        <v>0</v>
      </c>
      <c r="J78" s="12">
        <v>0</v>
      </c>
      <c r="K78" s="12">
        <v>0</v>
      </c>
      <c r="L78" s="18">
        <v>0</v>
      </c>
      <c r="M78" s="18">
        <v>1</v>
      </c>
      <c r="N78" s="12">
        <v>0</v>
      </c>
      <c r="O78" s="12">
        <v>1</v>
      </c>
      <c r="P78" s="12">
        <v>0.25</v>
      </c>
      <c r="Q78" s="12">
        <v>1</v>
      </c>
      <c r="R78" s="13">
        <f t="shared" si="6"/>
        <v>3.25</v>
      </c>
      <c r="S78" s="6" t="s">
        <v>39</v>
      </c>
      <c r="T78" s="7" t="s">
        <v>109</v>
      </c>
      <c r="U78" t="s">
        <v>127</v>
      </c>
    </row>
    <row r="79" spans="1:21">
      <c r="A79" s="6">
        <v>78</v>
      </c>
      <c r="B79" s="6" t="s">
        <v>134</v>
      </c>
      <c r="C79" s="6" t="s">
        <v>138</v>
      </c>
      <c r="D79" s="6" t="s">
        <v>138</v>
      </c>
      <c r="E79" s="8" t="s">
        <v>30</v>
      </c>
      <c r="F79" s="9" t="s">
        <v>89</v>
      </c>
      <c r="G79" s="9" t="s">
        <v>137</v>
      </c>
      <c r="H79" s="18">
        <v>0</v>
      </c>
      <c r="I79" s="12">
        <v>1</v>
      </c>
      <c r="J79" s="18">
        <v>0.8</v>
      </c>
      <c r="K79" s="18">
        <v>0.8</v>
      </c>
      <c r="L79" s="18">
        <v>1</v>
      </c>
      <c r="M79" s="18">
        <v>1</v>
      </c>
      <c r="N79" s="12">
        <v>1</v>
      </c>
      <c r="O79" s="12">
        <v>0.9</v>
      </c>
      <c r="P79" s="12">
        <v>1</v>
      </c>
      <c r="Q79" s="12">
        <v>1</v>
      </c>
      <c r="R79" s="13">
        <f t="shared" ref="R79:R80" si="7">SUM(H79:Q79)</f>
        <v>8.5</v>
      </c>
      <c r="S79" s="6" t="s">
        <v>136</v>
      </c>
      <c r="T79" s="7"/>
    </row>
    <row r="80" spans="1:21">
      <c r="A80" s="6">
        <v>79</v>
      </c>
      <c r="B80" s="6" t="s">
        <v>134</v>
      </c>
      <c r="C80" s="6" t="s">
        <v>138</v>
      </c>
      <c r="D80" s="6" t="s">
        <v>138</v>
      </c>
      <c r="E80" s="8" t="s">
        <v>30</v>
      </c>
      <c r="F80" s="14" t="s">
        <v>31</v>
      </c>
      <c r="G80" s="9" t="s">
        <v>135</v>
      </c>
      <c r="H80" s="18">
        <v>1</v>
      </c>
      <c r="I80" s="12">
        <v>1</v>
      </c>
      <c r="J80" s="18">
        <v>0.5</v>
      </c>
      <c r="K80" s="18">
        <v>0.75</v>
      </c>
      <c r="L80" s="18">
        <v>1</v>
      </c>
      <c r="M80" s="18">
        <v>0.8</v>
      </c>
      <c r="N80" s="12">
        <v>1</v>
      </c>
      <c r="O80" s="12">
        <v>1</v>
      </c>
      <c r="P80" s="12">
        <v>1</v>
      </c>
      <c r="Q80" s="12">
        <v>1</v>
      </c>
      <c r="R80" s="13">
        <f t="shared" si="7"/>
        <v>9.0500000000000007</v>
      </c>
      <c r="S80" s="6" t="s">
        <v>136</v>
      </c>
      <c r="T80" s="7"/>
    </row>
  </sheetData>
  <sortState xmlns:xlrd2="http://schemas.microsoft.com/office/spreadsheetml/2017/richdata2" ref="A2:T65">
    <sortCondition ref="A1:A65"/>
  </sortState>
  <phoneticPr fontId="2"/>
  <conditionalFormatting sqref="H65:I66 L66:Q66 H67:Q67">
    <cfRule type="containsBlanks" dxfId="5" priority="6">
      <formula>LEN(TRIM(H65))=0</formula>
    </cfRule>
  </conditionalFormatting>
  <conditionalFormatting sqref="H73:I75 L73:Q75">
    <cfRule type="containsBlanks" dxfId="4" priority="2">
      <formula>LEN(TRIM(H73))=0</formula>
    </cfRule>
  </conditionalFormatting>
  <conditionalFormatting sqref="K61:M61 O61:Q61 H61:I63 K62:Q63">
    <cfRule type="containsBlanks" dxfId="3" priority="11">
      <formula>LEN(TRIM(H61))=0</formula>
    </cfRule>
  </conditionalFormatting>
  <conditionalFormatting sqref="L65:M65 O65:Q65">
    <cfRule type="containsBlanks" dxfId="2" priority="9">
      <formula>LEN(TRIM(L65))=0</formula>
    </cfRule>
  </conditionalFormatting>
  <hyperlinks>
    <hyperlink ref="S24" r:id="rId1" display="ChatGPT@web" xr:uid="{1058A042-60E0-457B-81FF-1016266AF578}"/>
    <hyperlink ref="S25" r:id="rId2" display="Qwen Chat@Web" xr:uid="{148C09C3-31BF-459D-85F0-CDF4369DB1AF}"/>
    <hyperlink ref="S26:S31" r:id="rId3" display="Qwen Chat@Web" xr:uid="{8DC984E2-A6A3-4F40-B497-5186B386D6D0}"/>
    <hyperlink ref="S42:S43" r:id="rId4" display="Qwen Chat@Web" xr:uid="{BDBE4B8D-AB32-2B44-9BAE-00128E9235EE}"/>
    <hyperlink ref="S44:S45" r:id="rId5" display="Qwen Chat@Web" xr:uid="{AC356306-EF02-C842-BEC1-8D17A25E8243}"/>
    <hyperlink ref="S68" r:id="rId6" display="Qwen Chat@Web" xr:uid="{C802D32D-9975-4A9E-8F9A-D3A3ECE8502E}"/>
    <hyperlink ref="S69" r:id="rId7" display="Qwen Chat@Web" xr:uid="{D1EE40BE-F511-46A6-8AC7-699A33E530A4}"/>
  </hyperlinks>
  <pageMargins left="0.75" right="0.75" top="1" bottom="1" header="0.511811023622047" footer="0.511811023622047"/>
  <pageSetup paperSize="9" orientation="portrait" horizontalDpi="300" verticalDpi="300"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04EE-1917-2F46-BD13-B218299A5190}">
  <dimension ref="A1"/>
  <sheetViews>
    <sheetView workbookViewId="0">
      <selection activeCell="M7" sqref="M7"/>
    </sheetView>
  </sheetViews>
  <sheetFormatPr baseColWidth="10" defaultColWidth="11.5" defaultRowHeight="14"/>
  <sheetData/>
  <phoneticPr fontId="5"/>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31A4-BA3A-A34A-8345-46FD5376EF4C}">
  <sheetPr filterMode="1"/>
  <dimension ref="A1:S65"/>
  <sheetViews>
    <sheetView zoomScale="130" zoomScaleNormal="130" workbookViewId="0">
      <selection activeCell="E72" sqref="E72"/>
    </sheetView>
  </sheetViews>
  <sheetFormatPr baseColWidth="10" defaultColWidth="8.5" defaultRowHeight="14"/>
  <cols>
    <col min="3" max="3" width="14.1640625" bestFit="1" customWidth="1"/>
    <col min="4" max="4" width="36" customWidth="1"/>
    <col min="5" max="5" width="8" style="4" customWidth="1"/>
    <col min="6" max="6" width="10" style="5" customWidth="1"/>
    <col min="7" max="16" width="7" hidden="1" customWidth="1"/>
    <col min="18" max="18" width="19.83203125" customWidth="1"/>
  </cols>
  <sheetData>
    <row r="1" spans="1:19">
      <c r="A1" s="6" t="s">
        <v>38</v>
      </c>
      <c r="B1" s="6" t="s">
        <v>61</v>
      </c>
      <c r="C1" s="6" t="s">
        <v>62</v>
      </c>
      <c r="D1" s="1" t="s">
        <v>44</v>
      </c>
      <c r="E1" s="2" t="s">
        <v>43</v>
      </c>
      <c r="F1" s="3" t="s">
        <v>0</v>
      </c>
      <c r="G1" s="1" t="s">
        <v>1</v>
      </c>
      <c r="H1" s="1" t="s">
        <v>2</v>
      </c>
      <c r="I1" s="1" t="s">
        <v>3</v>
      </c>
      <c r="J1" s="1" t="s">
        <v>4</v>
      </c>
      <c r="K1" s="1" t="s">
        <v>5</v>
      </c>
      <c r="L1" s="1" t="s">
        <v>6</v>
      </c>
      <c r="M1" s="1" t="s">
        <v>7</v>
      </c>
      <c r="N1" s="1" t="s">
        <v>8</v>
      </c>
      <c r="O1" s="1" t="s">
        <v>9</v>
      </c>
      <c r="P1" s="1" t="s">
        <v>10</v>
      </c>
      <c r="Q1" s="1" t="s">
        <v>11</v>
      </c>
      <c r="R1" s="6" t="s">
        <v>12</v>
      </c>
      <c r="S1" s="7"/>
    </row>
    <row r="2" spans="1:19" hidden="1">
      <c r="A2" s="6">
        <v>1</v>
      </c>
      <c r="B2" s="6" t="s">
        <v>63</v>
      </c>
      <c r="C2" s="6" t="s">
        <v>70</v>
      </c>
      <c r="D2" s="6" t="s">
        <v>45</v>
      </c>
      <c r="E2" s="8">
        <v>1.7</v>
      </c>
      <c r="F2" s="9" t="s">
        <v>13</v>
      </c>
      <c r="G2" s="10">
        <v>0</v>
      </c>
      <c r="H2" s="10">
        <v>1</v>
      </c>
      <c r="I2" s="10">
        <v>0</v>
      </c>
      <c r="J2" s="10">
        <v>0</v>
      </c>
      <c r="K2" s="10">
        <v>1</v>
      </c>
      <c r="L2" s="10">
        <v>0</v>
      </c>
      <c r="M2" s="10">
        <v>0</v>
      </c>
      <c r="N2" s="10">
        <v>0</v>
      </c>
      <c r="O2" s="10">
        <v>1</v>
      </c>
      <c r="P2" s="10">
        <v>1</v>
      </c>
      <c r="Q2" s="11">
        <f t="shared" ref="Q2:Q7" si="0">SUM(G2:P2)</f>
        <v>4</v>
      </c>
      <c r="R2" s="6" t="s">
        <v>105</v>
      </c>
      <c r="S2" s="7" t="s">
        <v>106</v>
      </c>
    </row>
    <row r="3" spans="1:19" hidden="1">
      <c r="A3" s="6">
        <v>2</v>
      </c>
      <c r="B3" s="6" t="s">
        <v>63</v>
      </c>
      <c r="C3" s="6" t="s">
        <v>70</v>
      </c>
      <c r="D3" s="6" t="s">
        <v>45</v>
      </c>
      <c r="E3" s="8">
        <v>1.7</v>
      </c>
      <c r="F3" s="9" t="s">
        <v>14</v>
      </c>
      <c r="G3" s="10">
        <v>0</v>
      </c>
      <c r="H3" s="10">
        <v>1</v>
      </c>
      <c r="I3" s="10">
        <v>0.9</v>
      </c>
      <c r="J3" s="10">
        <v>1</v>
      </c>
      <c r="K3" s="10">
        <v>1</v>
      </c>
      <c r="L3" s="10">
        <v>1</v>
      </c>
      <c r="M3" s="10">
        <v>0.9</v>
      </c>
      <c r="N3" s="10">
        <v>0</v>
      </c>
      <c r="O3" s="10">
        <v>1</v>
      </c>
      <c r="P3" s="10">
        <v>1</v>
      </c>
      <c r="Q3" s="11">
        <f t="shared" si="0"/>
        <v>7.8000000000000007</v>
      </c>
      <c r="R3" s="6" t="s">
        <v>105</v>
      </c>
      <c r="S3" s="7" t="s">
        <v>106</v>
      </c>
    </row>
    <row r="4" spans="1:19" hidden="1">
      <c r="A4" s="6">
        <v>3</v>
      </c>
      <c r="B4" s="6" t="s">
        <v>63</v>
      </c>
      <c r="C4" s="6" t="s">
        <v>70</v>
      </c>
      <c r="D4" s="6" t="s">
        <v>46</v>
      </c>
      <c r="E4" s="8">
        <v>4</v>
      </c>
      <c r="F4" s="9" t="s">
        <v>13</v>
      </c>
      <c r="G4" s="10">
        <v>1</v>
      </c>
      <c r="H4" s="10">
        <v>1</v>
      </c>
      <c r="I4" s="10">
        <v>0.9</v>
      </c>
      <c r="J4" s="10">
        <v>0.75</v>
      </c>
      <c r="K4" s="10">
        <v>1</v>
      </c>
      <c r="L4" s="10">
        <v>1</v>
      </c>
      <c r="M4" s="10">
        <v>0.9</v>
      </c>
      <c r="N4" s="10">
        <v>0.9</v>
      </c>
      <c r="O4" s="10">
        <v>1</v>
      </c>
      <c r="P4" s="10">
        <v>1</v>
      </c>
      <c r="Q4" s="11">
        <f t="shared" si="0"/>
        <v>9.4500000000000011</v>
      </c>
      <c r="R4" s="6" t="s">
        <v>105</v>
      </c>
      <c r="S4" s="7" t="s">
        <v>106</v>
      </c>
    </row>
    <row r="5" spans="1:19" hidden="1">
      <c r="A5" s="6">
        <v>4</v>
      </c>
      <c r="B5" s="6" t="s">
        <v>63</v>
      </c>
      <c r="C5" s="6" t="s">
        <v>70</v>
      </c>
      <c r="D5" s="6" t="s">
        <v>46</v>
      </c>
      <c r="E5" s="8">
        <v>4</v>
      </c>
      <c r="F5" s="9" t="s">
        <v>14</v>
      </c>
      <c r="G5" s="10">
        <v>1</v>
      </c>
      <c r="H5" s="10">
        <v>1</v>
      </c>
      <c r="I5" s="10">
        <v>0.9</v>
      </c>
      <c r="J5" s="10">
        <v>1</v>
      </c>
      <c r="K5" s="10">
        <v>1</v>
      </c>
      <c r="L5" s="10">
        <v>1</v>
      </c>
      <c r="M5" s="10">
        <v>1</v>
      </c>
      <c r="N5" s="10">
        <v>0</v>
      </c>
      <c r="O5" s="10">
        <v>1</v>
      </c>
      <c r="P5" s="10">
        <v>1</v>
      </c>
      <c r="Q5" s="11">
        <f t="shared" si="0"/>
        <v>8.9</v>
      </c>
      <c r="R5" s="6" t="s">
        <v>105</v>
      </c>
      <c r="S5" s="7" t="s">
        <v>106</v>
      </c>
    </row>
    <row r="6" spans="1:19" hidden="1">
      <c r="A6" s="6">
        <v>5</v>
      </c>
      <c r="B6" s="6" t="s">
        <v>63</v>
      </c>
      <c r="C6" s="6" t="s">
        <v>70</v>
      </c>
      <c r="D6" s="6" t="s">
        <v>47</v>
      </c>
      <c r="E6" s="8">
        <v>8</v>
      </c>
      <c r="F6" s="9" t="s">
        <v>13</v>
      </c>
      <c r="G6" s="10">
        <v>0</v>
      </c>
      <c r="H6" s="10">
        <v>1</v>
      </c>
      <c r="I6" s="10">
        <v>1</v>
      </c>
      <c r="J6" s="10">
        <v>1</v>
      </c>
      <c r="K6" s="10">
        <v>1</v>
      </c>
      <c r="L6" s="10">
        <v>1</v>
      </c>
      <c r="M6" s="10">
        <v>0.9</v>
      </c>
      <c r="N6" s="10">
        <v>0</v>
      </c>
      <c r="O6" s="10">
        <v>1</v>
      </c>
      <c r="P6" s="10">
        <v>1</v>
      </c>
      <c r="Q6" s="11">
        <f t="shared" si="0"/>
        <v>7.9</v>
      </c>
      <c r="R6" s="6" t="s">
        <v>105</v>
      </c>
      <c r="S6" s="7" t="s">
        <v>106</v>
      </c>
    </row>
    <row r="7" spans="1:19" hidden="1">
      <c r="A7" s="6">
        <v>6</v>
      </c>
      <c r="B7" s="6" t="s">
        <v>63</v>
      </c>
      <c r="C7" s="6" t="s">
        <v>70</v>
      </c>
      <c r="D7" s="6" t="s">
        <v>47</v>
      </c>
      <c r="E7" s="8">
        <v>8</v>
      </c>
      <c r="F7" s="9" t="s">
        <v>14</v>
      </c>
      <c r="G7" s="10">
        <v>0.9</v>
      </c>
      <c r="H7" s="10">
        <v>1</v>
      </c>
      <c r="I7" s="10">
        <v>1</v>
      </c>
      <c r="J7" s="10">
        <v>1</v>
      </c>
      <c r="K7" s="10">
        <v>1</v>
      </c>
      <c r="L7" s="10">
        <v>1</v>
      </c>
      <c r="M7" s="10">
        <v>0.9</v>
      </c>
      <c r="N7" s="10">
        <v>0</v>
      </c>
      <c r="O7" s="10">
        <v>1</v>
      </c>
      <c r="P7" s="10">
        <v>1</v>
      </c>
      <c r="Q7" s="11">
        <f t="shared" si="0"/>
        <v>8.8000000000000007</v>
      </c>
      <c r="R7" s="6" t="s">
        <v>105</v>
      </c>
      <c r="S7" s="7" t="s">
        <v>106</v>
      </c>
    </row>
    <row r="8" spans="1:19">
      <c r="A8" s="6">
        <v>62</v>
      </c>
      <c r="B8" s="6" t="s">
        <v>63</v>
      </c>
      <c r="C8" s="6" t="s">
        <v>68</v>
      </c>
      <c r="D8" s="6" t="s">
        <v>100</v>
      </c>
      <c r="E8" s="15">
        <v>27</v>
      </c>
      <c r="F8" s="14" t="s">
        <v>89</v>
      </c>
      <c r="G8" s="7">
        <v>1</v>
      </c>
      <c r="H8" s="7">
        <v>1</v>
      </c>
      <c r="I8" s="7">
        <v>0.95</v>
      </c>
      <c r="J8" s="7">
        <v>1</v>
      </c>
      <c r="K8" s="7">
        <v>1</v>
      </c>
      <c r="L8" s="7">
        <v>1</v>
      </c>
      <c r="M8" s="7">
        <v>1</v>
      </c>
      <c r="N8" s="7">
        <v>1</v>
      </c>
      <c r="O8" s="7">
        <v>1</v>
      </c>
      <c r="P8" s="7">
        <v>1</v>
      </c>
      <c r="Q8" s="13">
        <f t="shared" ref="Q8:Q39" si="1">SUM(G8:P8)</f>
        <v>9.9499999999999993</v>
      </c>
      <c r="R8" s="6" t="s">
        <v>105</v>
      </c>
      <c r="S8" s="7" t="s">
        <v>107</v>
      </c>
    </row>
    <row r="9" spans="1:19">
      <c r="A9" s="6">
        <v>56</v>
      </c>
      <c r="B9" s="6" t="s">
        <v>63</v>
      </c>
      <c r="C9" s="6" t="s">
        <v>68</v>
      </c>
      <c r="D9" s="6" t="s">
        <v>97</v>
      </c>
      <c r="E9" s="8">
        <v>9</v>
      </c>
      <c r="F9" s="9" t="s">
        <v>31</v>
      </c>
      <c r="G9" s="7">
        <v>1</v>
      </c>
      <c r="H9" s="7">
        <v>1</v>
      </c>
      <c r="I9" s="7">
        <v>1</v>
      </c>
      <c r="J9" s="7">
        <v>0.75</v>
      </c>
      <c r="K9" s="7">
        <v>1</v>
      </c>
      <c r="L9" s="7">
        <v>1</v>
      </c>
      <c r="M9" s="7">
        <v>1</v>
      </c>
      <c r="N9" s="7">
        <v>1</v>
      </c>
      <c r="O9" s="7">
        <v>1</v>
      </c>
      <c r="P9" s="7">
        <v>1</v>
      </c>
      <c r="Q9" s="13">
        <f t="shared" si="1"/>
        <v>9.75</v>
      </c>
      <c r="R9" s="6" t="s">
        <v>39</v>
      </c>
      <c r="S9" s="7"/>
    </row>
    <row r="10" spans="1:19">
      <c r="A10" s="6">
        <v>57</v>
      </c>
      <c r="B10" s="6" t="s">
        <v>63</v>
      </c>
      <c r="C10" s="6" t="s">
        <v>68</v>
      </c>
      <c r="D10" s="6" t="s">
        <v>99</v>
      </c>
      <c r="E10" s="8">
        <v>9</v>
      </c>
      <c r="F10" s="9" t="s">
        <v>31</v>
      </c>
      <c r="G10" s="7">
        <v>1</v>
      </c>
      <c r="H10" s="7">
        <v>1</v>
      </c>
      <c r="I10" s="7">
        <v>1</v>
      </c>
      <c r="J10" s="7">
        <v>0.75</v>
      </c>
      <c r="K10" s="7">
        <v>1</v>
      </c>
      <c r="L10" s="7">
        <v>1</v>
      </c>
      <c r="M10" s="7">
        <v>1</v>
      </c>
      <c r="N10" s="7">
        <v>1</v>
      </c>
      <c r="O10" s="7">
        <v>1</v>
      </c>
      <c r="P10" s="7">
        <v>1</v>
      </c>
      <c r="Q10" s="13">
        <f t="shared" si="1"/>
        <v>9.75</v>
      </c>
      <c r="R10" s="6" t="s">
        <v>39</v>
      </c>
      <c r="S10" s="7"/>
    </row>
    <row r="11" spans="1:19">
      <c r="A11" s="6">
        <v>8</v>
      </c>
      <c r="B11" s="6" t="s">
        <v>63</v>
      </c>
      <c r="C11" s="6" t="s">
        <v>70</v>
      </c>
      <c r="D11" s="6" t="s">
        <v>48</v>
      </c>
      <c r="E11" s="8">
        <v>14</v>
      </c>
      <c r="F11" s="9" t="s">
        <v>14</v>
      </c>
      <c r="G11" s="10">
        <v>1</v>
      </c>
      <c r="H11" s="10">
        <v>1</v>
      </c>
      <c r="I11" s="10">
        <v>0.9</v>
      </c>
      <c r="J11" s="10">
        <v>1</v>
      </c>
      <c r="K11" s="10">
        <v>1</v>
      </c>
      <c r="L11" s="10">
        <v>1</v>
      </c>
      <c r="M11" s="10">
        <v>0.9</v>
      </c>
      <c r="N11" s="10">
        <v>0.9</v>
      </c>
      <c r="O11" s="10">
        <v>1</v>
      </c>
      <c r="P11" s="10">
        <v>1</v>
      </c>
      <c r="Q11" s="11">
        <f t="shared" si="1"/>
        <v>9.7000000000000011</v>
      </c>
      <c r="R11" s="6" t="s">
        <v>105</v>
      </c>
      <c r="S11" s="7" t="s">
        <v>106</v>
      </c>
    </row>
    <row r="12" spans="1:19">
      <c r="A12" s="6">
        <v>58</v>
      </c>
      <c r="B12" s="6" t="s">
        <v>63</v>
      </c>
      <c r="C12" s="6" t="s">
        <v>68</v>
      </c>
      <c r="D12" s="6" t="s">
        <v>100</v>
      </c>
      <c r="E12" s="15">
        <v>27</v>
      </c>
      <c r="F12" s="9" t="s">
        <v>31</v>
      </c>
      <c r="G12" s="7">
        <v>1</v>
      </c>
      <c r="H12" s="7">
        <v>1</v>
      </c>
      <c r="I12" s="7">
        <v>0.95</v>
      </c>
      <c r="J12" s="7">
        <v>0.75</v>
      </c>
      <c r="K12" s="7">
        <v>1</v>
      </c>
      <c r="L12" s="7">
        <v>1</v>
      </c>
      <c r="M12" s="7">
        <v>1</v>
      </c>
      <c r="N12" s="7">
        <v>1</v>
      </c>
      <c r="O12" s="7">
        <v>1</v>
      </c>
      <c r="P12" s="7">
        <v>1</v>
      </c>
      <c r="Q12" s="13">
        <f t="shared" si="1"/>
        <v>9.6999999999999993</v>
      </c>
      <c r="R12" s="6" t="s">
        <v>39</v>
      </c>
      <c r="S12" s="7" t="s">
        <v>103</v>
      </c>
    </row>
    <row r="13" spans="1:19">
      <c r="A13" s="6">
        <v>59</v>
      </c>
      <c r="B13" s="6" t="s">
        <v>63</v>
      </c>
      <c r="C13" s="6" t="s">
        <v>68</v>
      </c>
      <c r="D13" s="6" t="s">
        <v>102</v>
      </c>
      <c r="E13" s="15">
        <v>35</v>
      </c>
      <c r="F13" s="9" t="s">
        <v>31</v>
      </c>
      <c r="G13" s="7">
        <v>1</v>
      </c>
      <c r="H13" s="7">
        <v>1</v>
      </c>
      <c r="I13" s="7">
        <v>0.95</v>
      </c>
      <c r="J13" s="7">
        <v>0.75</v>
      </c>
      <c r="K13" s="7">
        <v>1</v>
      </c>
      <c r="L13" s="7">
        <v>1</v>
      </c>
      <c r="M13" s="7">
        <v>1</v>
      </c>
      <c r="N13" s="7">
        <v>1</v>
      </c>
      <c r="O13" s="7">
        <v>1</v>
      </c>
      <c r="P13" s="7">
        <v>1</v>
      </c>
      <c r="Q13" s="13">
        <f t="shared" si="1"/>
        <v>9.6999999999999993</v>
      </c>
      <c r="R13" s="6" t="s">
        <v>39</v>
      </c>
      <c r="S13" s="7" t="s">
        <v>103</v>
      </c>
    </row>
    <row r="14" spans="1:19" hidden="1">
      <c r="A14" s="6">
        <v>13</v>
      </c>
      <c r="B14" s="6" t="s">
        <v>64</v>
      </c>
      <c r="C14" s="6" t="s">
        <v>69</v>
      </c>
      <c r="D14" s="6" t="s">
        <v>51</v>
      </c>
      <c r="E14" s="8">
        <v>20</v>
      </c>
      <c r="F14" s="9" t="s">
        <v>15</v>
      </c>
      <c r="G14" s="10">
        <v>1</v>
      </c>
      <c r="H14" s="10">
        <v>1</v>
      </c>
      <c r="I14" s="10">
        <v>1</v>
      </c>
      <c r="J14" s="10">
        <v>1</v>
      </c>
      <c r="K14" s="10">
        <v>1</v>
      </c>
      <c r="L14" s="10">
        <v>0</v>
      </c>
      <c r="M14" s="10">
        <v>1</v>
      </c>
      <c r="N14" s="10">
        <v>1</v>
      </c>
      <c r="O14" s="10">
        <v>1</v>
      </c>
      <c r="P14" s="10">
        <v>1</v>
      </c>
      <c r="Q14" s="11">
        <f t="shared" si="1"/>
        <v>9</v>
      </c>
      <c r="R14" s="6" t="s">
        <v>105</v>
      </c>
      <c r="S14" s="7" t="s">
        <v>106</v>
      </c>
    </row>
    <row r="15" spans="1:19" hidden="1">
      <c r="A15" s="6">
        <v>14</v>
      </c>
      <c r="B15" s="6" t="s">
        <v>64</v>
      </c>
      <c r="C15" s="6" t="s">
        <v>69</v>
      </c>
      <c r="D15" s="6" t="s">
        <v>52</v>
      </c>
      <c r="E15" s="8">
        <v>20</v>
      </c>
      <c r="F15" s="9" t="s">
        <v>16</v>
      </c>
      <c r="G15" s="10">
        <v>0.9</v>
      </c>
      <c r="H15" s="10">
        <v>1</v>
      </c>
      <c r="I15" s="10">
        <v>0.25</v>
      </c>
      <c r="J15" s="10">
        <v>1</v>
      </c>
      <c r="K15" s="10">
        <v>1</v>
      </c>
      <c r="L15" s="10">
        <v>1</v>
      </c>
      <c r="M15" s="10">
        <v>1</v>
      </c>
      <c r="N15" s="10">
        <v>1</v>
      </c>
      <c r="O15" s="10">
        <v>1</v>
      </c>
      <c r="P15" s="10">
        <v>1</v>
      </c>
      <c r="Q15" s="11">
        <f t="shared" si="1"/>
        <v>9.15</v>
      </c>
      <c r="R15" s="6" t="s">
        <v>105</v>
      </c>
      <c r="S15" s="7" t="s">
        <v>106</v>
      </c>
    </row>
    <row r="16" spans="1:19" hidden="1">
      <c r="A16" s="6">
        <v>15</v>
      </c>
      <c r="B16" s="6" t="s">
        <v>64</v>
      </c>
      <c r="C16" s="6" t="s">
        <v>69</v>
      </c>
      <c r="D16" s="6" t="s">
        <v>53</v>
      </c>
      <c r="E16" s="8">
        <v>20</v>
      </c>
      <c r="F16" s="9" t="s">
        <v>17</v>
      </c>
      <c r="G16" s="10">
        <v>0</v>
      </c>
      <c r="H16" s="10">
        <v>1</v>
      </c>
      <c r="I16" s="10">
        <v>0</v>
      </c>
      <c r="J16" s="10">
        <v>1</v>
      </c>
      <c r="K16" s="10">
        <v>0.9</v>
      </c>
      <c r="L16" s="10">
        <v>0</v>
      </c>
      <c r="M16" s="10">
        <v>0.9</v>
      </c>
      <c r="N16" s="10">
        <v>0</v>
      </c>
      <c r="O16" s="10">
        <v>1</v>
      </c>
      <c r="P16" s="10">
        <v>1</v>
      </c>
      <c r="Q16" s="11">
        <f t="shared" si="1"/>
        <v>5.8</v>
      </c>
      <c r="R16" s="6" t="s">
        <v>105</v>
      </c>
      <c r="S16" s="7" t="s">
        <v>106</v>
      </c>
    </row>
    <row r="17" spans="1:19" hidden="1">
      <c r="A17" s="6">
        <v>16</v>
      </c>
      <c r="B17" s="6" t="s">
        <v>63</v>
      </c>
      <c r="C17" s="6" t="s">
        <v>70</v>
      </c>
      <c r="D17" s="6" t="s">
        <v>54</v>
      </c>
      <c r="E17" s="8">
        <v>4</v>
      </c>
      <c r="F17" s="9" t="s">
        <v>13</v>
      </c>
      <c r="G17" s="12">
        <v>0</v>
      </c>
      <c r="H17" s="12">
        <v>1</v>
      </c>
      <c r="I17" s="12">
        <v>0.9</v>
      </c>
      <c r="J17" s="12">
        <v>1</v>
      </c>
      <c r="K17" s="12">
        <v>1</v>
      </c>
      <c r="L17" s="12">
        <v>1</v>
      </c>
      <c r="M17" s="12">
        <v>0.9</v>
      </c>
      <c r="N17" s="12">
        <v>1</v>
      </c>
      <c r="O17" s="12">
        <v>1</v>
      </c>
      <c r="P17" s="12">
        <v>1</v>
      </c>
      <c r="Q17" s="13">
        <f t="shared" si="1"/>
        <v>8.8000000000000007</v>
      </c>
      <c r="R17" s="6" t="s">
        <v>105</v>
      </c>
      <c r="S17" s="7" t="s">
        <v>106</v>
      </c>
    </row>
    <row r="18" spans="1:19" hidden="1">
      <c r="A18" s="6">
        <v>17</v>
      </c>
      <c r="B18" s="6" t="s">
        <v>63</v>
      </c>
      <c r="C18" s="6" t="s">
        <v>70</v>
      </c>
      <c r="D18" s="6" t="s">
        <v>55</v>
      </c>
      <c r="E18" s="8">
        <v>4</v>
      </c>
      <c r="F18" s="9" t="s">
        <v>14</v>
      </c>
      <c r="G18" s="12">
        <v>1</v>
      </c>
      <c r="H18" s="12">
        <v>1</v>
      </c>
      <c r="I18" s="12">
        <v>0</v>
      </c>
      <c r="J18" s="12">
        <v>1</v>
      </c>
      <c r="K18" s="12">
        <v>1</v>
      </c>
      <c r="L18" s="12">
        <v>1</v>
      </c>
      <c r="M18" s="12">
        <v>0.9</v>
      </c>
      <c r="N18" s="12">
        <v>0</v>
      </c>
      <c r="O18" s="12">
        <v>1</v>
      </c>
      <c r="P18" s="12">
        <v>1</v>
      </c>
      <c r="Q18" s="13">
        <f t="shared" si="1"/>
        <v>7.9</v>
      </c>
      <c r="R18" s="6" t="s">
        <v>105</v>
      </c>
      <c r="S18" s="7" t="s">
        <v>106</v>
      </c>
    </row>
    <row r="19" spans="1:19">
      <c r="A19" s="6">
        <v>63</v>
      </c>
      <c r="B19" s="6" t="s">
        <v>63</v>
      </c>
      <c r="C19" s="6" t="s">
        <v>68</v>
      </c>
      <c r="D19" s="6" t="s">
        <v>102</v>
      </c>
      <c r="E19" s="15">
        <v>35</v>
      </c>
      <c r="F19" s="14" t="s">
        <v>89</v>
      </c>
      <c r="G19" s="7">
        <v>0</v>
      </c>
      <c r="H19" s="7">
        <v>1</v>
      </c>
      <c r="I19" s="7">
        <v>1</v>
      </c>
      <c r="J19" s="7">
        <v>0.95</v>
      </c>
      <c r="K19" s="7">
        <v>1</v>
      </c>
      <c r="L19" s="7">
        <v>1</v>
      </c>
      <c r="M19" s="7">
        <v>1</v>
      </c>
      <c r="N19" s="7">
        <v>1</v>
      </c>
      <c r="O19" s="7">
        <v>1</v>
      </c>
      <c r="P19" s="7">
        <v>1</v>
      </c>
      <c r="Q19" s="13">
        <f t="shared" si="1"/>
        <v>8.9499999999999993</v>
      </c>
      <c r="R19" s="6" t="s">
        <v>39</v>
      </c>
      <c r="S19" s="7" t="s">
        <v>104</v>
      </c>
    </row>
    <row r="20" spans="1:19">
      <c r="A20" s="6">
        <v>18</v>
      </c>
      <c r="B20" s="6" t="s">
        <v>63</v>
      </c>
      <c r="C20" s="6" t="s">
        <v>70</v>
      </c>
      <c r="D20" s="6" t="s">
        <v>56</v>
      </c>
      <c r="E20" s="8">
        <v>30</v>
      </c>
      <c r="F20" s="9" t="s">
        <v>13</v>
      </c>
      <c r="G20" s="12">
        <v>1</v>
      </c>
      <c r="H20" s="12">
        <v>1</v>
      </c>
      <c r="I20" s="12">
        <v>1</v>
      </c>
      <c r="J20" s="12">
        <v>0</v>
      </c>
      <c r="K20" s="12">
        <v>1</v>
      </c>
      <c r="L20" s="12">
        <v>1</v>
      </c>
      <c r="M20" s="12">
        <v>0.9</v>
      </c>
      <c r="N20" s="12">
        <v>1</v>
      </c>
      <c r="O20" s="12">
        <v>1</v>
      </c>
      <c r="P20" s="12">
        <v>1</v>
      </c>
      <c r="Q20" s="13">
        <f t="shared" si="1"/>
        <v>8.9</v>
      </c>
      <c r="R20" s="6" t="s">
        <v>105</v>
      </c>
      <c r="S20" s="7" t="s">
        <v>106</v>
      </c>
    </row>
    <row r="21" spans="1:19" hidden="1">
      <c r="A21" s="6">
        <v>20</v>
      </c>
      <c r="B21" s="6" t="s">
        <v>63</v>
      </c>
      <c r="C21" s="6" t="s">
        <v>71</v>
      </c>
      <c r="D21" s="6" t="s">
        <v>18</v>
      </c>
      <c r="E21" s="8">
        <v>2</v>
      </c>
      <c r="F21" s="9" t="s">
        <v>13</v>
      </c>
      <c r="G21" s="12">
        <v>0</v>
      </c>
      <c r="H21" s="12">
        <v>0</v>
      </c>
      <c r="I21" s="12">
        <v>0</v>
      </c>
      <c r="J21" s="12">
        <v>0</v>
      </c>
      <c r="K21" s="12">
        <v>0</v>
      </c>
      <c r="L21" s="12">
        <v>0</v>
      </c>
      <c r="M21" s="12">
        <v>0</v>
      </c>
      <c r="N21" s="12">
        <v>1</v>
      </c>
      <c r="O21" s="12">
        <v>1</v>
      </c>
      <c r="P21" s="12">
        <v>0</v>
      </c>
      <c r="Q21" s="13">
        <f t="shared" si="1"/>
        <v>2</v>
      </c>
      <c r="R21" s="6" t="s">
        <v>39</v>
      </c>
      <c r="S21" s="7"/>
    </row>
    <row r="22" spans="1:19" hidden="1">
      <c r="A22" s="6">
        <v>21</v>
      </c>
      <c r="B22" s="6" t="s">
        <v>63</v>
      </c>
      <c r="C22" s="6" t="s">
        <v>71</v>
      </c>
      <c r="D22" s="6" t="s">
        <v>19</v>
      </c>
      <c r="E22" s="8">
        <v>4</v>
      </c>
      <c r="F22" s="9" t="s">
        <v>13</v>
      </c>
      <c r="G22" s="12">
        <v>1</v>
      </c>
      <c r="H22" s="12">
        <v>1</v>
      </c>
      <c r="I22" s="12">
        <v>0.5</v>
      </c>
      <c r="J22" s="12">
        <v>0</v>
      </c>
      <c r="K22" s="12">
        <v>1</v>
      </c>
      <c r="L22" s="12">
        <v>0</v>
      </c>
      <c r="M22" s="12">
        <v>0.9</v>
      </c>
      <c r="N22" s="12">
        <v>0</v>
      </c>
      <c r="O22" s="12">
        <v>1</v>
      </c>
      <c r="P22" s="12">
        <v>1</v>
      </c>
      <c r="Q22" s="13">
        <f t="shared" si="1"/>
        <v>6.4</v>
      </c>
      <c r="R22" s="6" t="s">
        <v>39</v>
      </c>
      <c r="S22" s="7"/>
    </row>
    <row r="23" spans="1:19" hidden="1">
      <c r="A23" s="6">
        <v>22</v>
      </c>
      <c r="B23" s="6" t="s">
        <v>63</v>
      </c>
      <c r="C23" s="6" t="s">
        <v>71</v>
      </c>
      <c r="D23" s="6" t="s">
        <v>20</v>
      </c>
      <c r="E23" s="8">
        <v>8</v>
      </c>
      <c r="F23" s="9" t="s">
        <v>13</v>
      </c>
      <c r="G23" s="12">
        <v>0</v>
      </c>
      <c r="H23" s="12">
        <v>1</v>
      </c>
      <c r="I23" s="12">
        <v>0.9</v>
      </c>
      <c r="J23" s="12">
        <v>0.75</v>
      </c>
      <c r="K23" s="12">
        <v>1</v>
      </c>
      <c r="L23" s="12">
        <v>1</v>
      </c>
      <c r="M23" s="12">
        <v>1</v>
      </c>
      <c r="N23" s="12">
        <v>0</v>
      </c>
      <c r="O23" s="12">
        <v>1</v>
      </c>
      <c r="P23" s="12">
        <v>1</v>
      </c>
      <c r="Q23" s="13">
        <f t="shared" si="1"/>
        <v>7.65</v>
      </c>
      <c r="R23" s="6" t="s">
        <v>39</v>
      </c>
      <c r="S23" s="7"/>
    </row>
    <row r="24" spans="1:19" hidden="1">
      <c r="A24" s="6">
        <v>23</v>
      </c>
      <c r="B24" s="6" t="s">
        <v>64</v>
      </c>
      <c r="C24" s="6" t="s">
        <v>40</v>
      </c>
      <c r="D24" s="6" t="s">
        <v>21</v>
      </c>
      <c r="E24" s="8" t="s">
        <v>22</v>
      </c>
      <c r="F24" s="9" t="s">
        <v>23</v>
      </c>
      <c r="G24" s="12">
        <v>1</v>
      </c>
      <c r="H24" s="12">
        <v>1</v>
      </c>
      <c r="I24" s="12">
        <v>1</v>
      </c>
      <c r="J24" s="12">
        <v>0.5</v>
      </c>
      <c r="K24" s="12">
        <v>1</v>
      </c>
      <c r="L24" s="12">
        <v>1</v>
      </c>
      <c r="M24" s="12">
        <v>1</v>
      </c>
      <c r="N24" s="12">
        <v>1</v>
      </c>
      <c r="O24" s="12">
        <v>1</v>
      </c>
      <c r="P24" s="12">
        <v>1</v>
      </c>
      <c r="Q24" s="13">
        <f t="shared" si="1"/>
        <v>9.5</v>
      </c>
      <c r="R24" s="6" t="s">
        <v>40</v>
      </c>
      <c r="S24" s="7"/>
    </row>
    <row r="25" spans="1:19" hidden="1">
      <c r="A25" s="6">
        <v>24</v>
      </c>
      <c r="B25" s="6" t="s">
        <v>63</v>
      </c>
      <c r="C25" s="6" t="s">
        <v>70</v>
      </c>
      <c r="D25" s="6" t="s">
        <v>24</v>
      </c>
      <c r="E25" s="8" t="s">
        <v>22</v>
      </c>
      <c r="F25" s="9" t="s">
        <v>25</v>
      </c>
      <c r="G25" s="12">
        <v>0</v>
      </c>
      <c r="H25" s="12">
        <v>1</v>
      </c>
      <c r="I25" s="12">
        <v>0.9</v>
      </c>
      <c r="J25" s="12">
        <v>1</v>
      </c>
      <c r="K25" s="12">
        <v>1</v>
      </c>
      <c r="L25" s="12">
        <v>1</v>
      </c>
      <c r="M25" s="12">
        <v>1</v>
      </c>
      <c r="N25" s="12">
        <v>1</v>
      </c>
      <c r="O25" s="12">
        <v>1</v>
      </c>
      <c r="P25" s="12">
        <v>1</v>
      </c>
      <c r="Q25" s="13">
        <f t="shared" si="1"/>
        <v>8.9</v>
      </c>
      <c r="R25" s="6" t="s">
        <v>41</v>
      </c>
      <c r="S25" s="7"/>
    </row>
    <row r="26" spans="1:19" hidden="1">
      <c r="A26" s="6">
        <v>25</v>
      </c>
      <c r="B26" s="6" t="s">
        <v>63</v>
      </c>
      <c r="C26" s="6" t="s">
        <v>72</v>
      </c>
      <c r="D26" s="6" t="s">
        <v>26</v>
      </c>
      <c r="E26" s="8">
        <v>80</v>
      </c>
      <c r="F26" s="9" t="s">
        <v>13</v>
      </c>
      <c r="G26" s="12">
        <v>0</v>
      </c>
      <c r="H26" s="12">
        <v>1</v>
      </c>
      <c r="I26" s="12">
        <v>1</v>
      </c>
      <c r="J26" s="12">
        <v>1</v>
      </c>
      <c r="K26" s="12">
        <v>1</v>
      </c>
      <c r="L26" s="12">
        <v>1</v>
      </c>
      <c r="M26" s="12">
        <v>1</v>
      </c>
      <c r="N26" s="12">
        <v>1</v>
      </c>
      <c r="O26" s="12">
        <v>1</v>
      </c>
      <c r="P26" s="12">
        <v>1</v>
      </c>
      <c r="Q26" s="13">
        <f t="shared" si="1"/>
        <v>9</v>
      </c>
      <c r="R26" s="6" t="s">
        <v>41</v>
      </c>
      <c r="S26" s="7"/>
    </row>
    <row r="27" spans="1:19" hidden="1">
      <c r="A27" s="6">
        <v>26</v>
      </c>
      <c r="B27" s="6" t="s">
        <v>63</v>
      </c>
      <c r="C27" s="6" t="s">
        <v>72</v>
      </c>
      <c r="D27" s="6" t="s">
        <v>26</v>
      </c>
      <c r="E27" s="8">
        <v>80</v>
      </c>
      <c r="F27" s="9" t="s">
        <v>14</v>
      </c>
      <c r="G27" s="12">
        <v>1</v>
      </c>
      <c r="H27" s="12">
        <v>1</v>
      </c>
      <c r="I27" s="12">
        <v>0</v>
      </c>
      <c r="J27" s="12">
        <v>0.25</v>
      </c>
      <c r="K27" s="12">
        <v>1</v>
      </c>
      <c r="L27" s="12">
        <v>1</v>
      </c>
      <c r="M27" s="12">
        <v>0.9</v>
      </c>
      <c r="N27" s="12">
        <v>1</v>
      </c>
      <c r="O27" s="12">
        <v>1</v>
      </c>
      <c r="P27" s="12">
        <v>1</v>
      </c>
      <c r="Q27" s="13">
        <f t="shared" si="1"/>
        <v>8.15</v>
      </c>
      <c r="R27" s="6" t="s">
        <v>41</v>
      </c>
      <c r="S27" s="7"/>
    </row>
    <row r="28" spans="1:19" hidden="1">
      <c r="A28" s="6">
        <v>27</v>
      </c>
      <c r="B28" s="6" t="s">
        <v>63</v>
      </c>
      <c r="C28" s="6" t="s">
        <v>70</v>
      </c>
      <c r="D28" s="6" t="s">
        <v>27</v>
      </c>
      <c r="E28" s="8">
        <v>235</v>
      </c>
      <c r="F28" s="9" t="s">
        <v>13</v>
      </c>
      <c r="G28" s="12">
        <v>0</v>
      </c>
      <c r="H28" s="12">
        <v>1</v>
      </c>
      <c r="I28" s="12">
        <v>1</v>
      </c>
      <c r="J28" s="12">
        <v>1</v>
      </c>
      <c r="K28" s="12">
        <v>1</v>
      </c>
      <c r="L28" s="12">
        <v>1</v>
      </c>
      <c r="M28" s="12">
        <v>0.9</v>
      </c>
      <c r="N28" s="12">
        <v>1</v>
      </c>
      <c r="O28" s="12">
        <v>1</v>
      </c>
      <c r="P28" s="12">
        <v>1</v>
      </c>
      <c r="Q28" s="13">
        <f t="shared" si="1"/>
        <v>8.9</v>
      </c>
      <c r="R28" s="6" t="s">
        <v>41</v>
      </c>
      <c r="S28" s="7"/>
    </row>
    <row r="29" spans="1:19" hidden="1">
      <c r="A29" s="6">
        <v>28</v>
      </c>
      <c r="B29" s="6" t="s">
        <v>63</v>
      </c>
      <c r="C29" s="6" t="s">
        <v>71</v>
      </c>
      <c r="D29" s="6" t="s">
        <v>28</v>
      </c>
      <c r="E29" s="8">
        <v>235</v>
      </c>
      <c r="F29" s="9" t="s">
        <v>13</v>
      </c>
      <c r="G29" s="12">
        <v>1</v>
      </c>
      <c r="H29" s="12">
        <v>1</v>
      </c>
      <c r="I29" s="12">
        <v>1</v>
      </c>
      <c r="J29" s="12">
        <v>0.9</v>
      </c>
      <c r="K29" s="12">
        <v>1</v>
      </c>
      <c r="L29" s="12">
        <v>1</v>
      </c>
      <c r="M29" s="12">
        <v>1</v>
      </c>
      <c r="N29" s="12">
        <v>1</v>
      </c>
      <c r="O29" s="12">
        <v>1</v>
      </c>
      <c r="P29" s="12">
        <v>1</v>
      </c>
      <c r="Q29" s="13">
        <f t="shared" si="1"/>
        <v>9.9</v>
      </c>
      <c r="R29" s="6" t="s">
        <v>41</v>
      </c>
      <c r="S29" s="7"/>
    </row>
    <row r="30" spans="1:19" hidden="1">
      <c r="A30" s="6">
        <v>29</v>
      </c>
      <c r="B30" s="6" t="s">
        <v>63</v>
      </c>
      <c r="C30" s="6" t="s">
        <v>70</v>
      </c>
      <c r="D30" s="6" t="s">
        <v>27</v>
      </c>
      <c r="E30" s="8">
        <v>235</v>
      </c>
      <c r="F30" s="9" t="s">
        <v>14</v>
      </c>
      <c r="G30" s="12">
        <v>1</v>
      </c>
      <c r="H30" s="12">
        <v>1</v>
      </c>
      <c r="I30" s="12">
        <v>1</v>
      </c>
      <c r="J30" s="12">
        <v>0.9</v>
      </c>
      <c r="K30" s="12">
        <v>1</v>
      </c>
      <c r="L30" s="12">
        <v>1</v>
      </c>
      <c r="M30" s="12">
        <v>0.9</v>
      </c>
      <c r="N30" s="12">
        <v>1</v>
      </c>
      <c r="O30" s="12">
        <v>1</v>
      </c>
      <c r="P30" s="12">
        <v>1</v>
      </c>
      <c r="Q30" s="13">
        <f t="shared" si="1"/>
        <v>9.8000000000000007</v>
      </c>
      <c r="R30" s="6" t="s">
        <v>41</v>
      </c>
      <c r="S30" s="7"/>
    </row>
    <row r="31" spans="1:19" hidden="1">
      <c r="A31" s="6">
        <v>30</v>
      </c>
      <c r="B31" s="6" t="s">
        <v>63</v>
      </c>
      <c r="C31" s="6" t="s">
        <v>71</v>
      </c>
      <c r="D31" s="6" t="s">
        <v>28</v>
      </c>
      <c r="E31" s="8">
        <v>235</v>
      </c>
      <c r="F31" s="9" t="s">
        <v>14</v>
      </c>
      <c r="G31" s="12">
        <v>1</v>
      </c>
      <c r="H31" s="12">
        <v>1</v>
      </c>
      <c r="I31" s="12">
        <v>0.9</v>
      </c>
      <c r="J31" s="12">
        <v>0.9</v>
      </c>
      <c r="K31" s="12">
        <v>1</v>
      </c>
      <c r="L31" s="12">
        <v>1</v>
      </c>
      <c r="M31" s="12">
        <v>1</v>
      </c>
      <c r="N31" s="12">
        <v>1</v>
      </c>
      <c r="O31" s="12">
        <v>1</v>
      </c>
      <c r="P31" s="12">
        <v>1</v>
      </c>
      <c r="Q31" s="13">
        <f t="shared" si="1"/>
        <v>9.8000000000000007</v>
      </c>
      <c r="R31" s="6" t="s">
        <v>41</v>
      </c>
      <c r="S31" s="7"/>
    </row>
    <row r="32" spans="1:19" hidden="1">
      <c r="A32" s="6">
        <v>31</v>
      </c>
      <c r="B32" s="6" t="s">
        <v>75</v>
      </c>
      <c r="C32" s="6" t="s">
        <v>73</v>
      </c>
      <c r="D32" s="6" t="s">
        <v>29</v>
      </c>
      <c r="E32" s="8" t="s">
        <v>30</v>
      </c>
      <c r="F32" s="9" t="s">
        <v>31</v>
      </c>
      <c r="G32" s="12">
        <v>1</v>
      </c>
      <c r="H32" s="12">
        <v>1</v>
      </c>
      <c r="I32" s="12">
        <v>1</v>
      </c>
      <c r="J32" s="12">
        <v>1</v>
      </c>
      <c r="K32" s="12">
        <v>1</v>
      </c>
      <c r="L32" s="12">
        <v>1</v>
      </c>
      <c r="M32" s="12">
        <v>1</v>
      </c>
      <c r="N32" s="12">
        <v>1</v>
      </c>
      <c r="O32" s="12">
        <v>1</v>
      </c>
      <c r="P32" s="12">
        <v>1</v>
      </c>
      <c r="Q32" s="13">
        <f t="shared" si="1"/>
        <v>10</v>
      </c>
      <c r="R32" s="6" t="s">
        <v>42</v>
      </c>
      <c r="S32" s="7"/>
    </row>
    <row r="33" spans="1:19" hidden="1">
      <c r="A33" s="6">
        <v>32</v>
      </c>
      <c r="B33" s="6" t="s">
        <v>63</v>
      </c>
      <c r="C33" s="6" t="s">
        <v>68</v>
      </c>
      <c r="D33" s="6" t="s">
        <v>32</v>
      </c>
      <c r="E33" s="8">
        <v>397</v>
      </c>
      <c r="F33" s="9" t="s">
        <v>33</v>
      </c>
      <c r="G33" s="12">
        <v>1</v>
      </c>
      <c r="H33" s="12">
        <v>1</v>
      </c>
      <c r="I33" s="12">
        <v>1</v>
      </c>
      <c r="J33" s="12">
        <v>1</v>
      </c>
      <c r="K33" s="12">
        <v>1</v>
      </c>
      <c r="L33" s="12">
        <v>1</v>
      </c>
      <c r="M33" s="12">
        <v>1</v>
      </c>
      <c r="N33" s="12">
        <v>1</v>
      </c>
      <c r="O33" s="12">
        <v>1</v>
      </c>
      <c r="P33" s="12">
        <v>1</v>
      </c>
      <c r="Q33" s="13">
        <f t="shared" si="1"/>
        <v>10</v>
      </c>
      <c r="R33" s="6" t="s">
        <v>42</v>
      </c>
      <c r="S33" s="7"/>
    </row>
    <row r="34" spans="1:19" hidden="1">
      <c r="A34" s="6">
        <v>33</v>
      </c>
      <c r="B34" s="6" t="s">
        <v>64</v>
      </c>
      <c r="C34" s="6" t="s">
        <v>69</v>
      </c>
      <c r="D34" s="6" t="s">
        <v>34</v>
      </c>
      <c r="E34" s="8">
        <v>120</v>
      </c>
      <c r="F34" s="9" t="s">
        <v>33</v>
      </c>
      <c r="G34" s="12">
        <v>1</v>
      </c>
      <c r="H34" s="12">
        <v>1</v>
      </c>
      <c r="I34" s="12">
        <v>1</v>
      </c>
      <c r="J34" s="12">
        <v>0</v>
      </c>
      <c r="K34" s="12">
        <v>0.5</v>
      </c>
      <c r="L34" s="12">
        <v>1</v>
      </c>
      <c r="M34" s="12">
        <v>1</v>
      </c>
      <c r="N34" s="12">
        <v>1</v>
      </c>
      <c r="O34" s="12">
        <v>1</v>
      </c>
      <c r="P34" s="12">
        <v>1</v>
      </c>
      <c r="Q34" s="13">
        <f t="shared" si="1"/>
        <v>8.5</v>
      </c>
      <c r="R34" s="6" t="s">
        <v>42</v>
      </c>
      <c r="S34" s="7"/>
    </row>
    <row r="35" spans="1:19" hidden="1">
      <c r="A35" s="6">
        <v>34</v>
      </c>
      <c r="B35" s="6" t="s">
        <v>75</v>
      </c>
      <c r="C35" s="6" t="s">
        <v>74</v>
      </c>
      <c r="D35" s="6" t="s">
        <v>35</v>
      </c>
      <c r="E35" s="8" t="s">
        <v>30</v>
      </c>
      <c r="F35" s="9" t="s">
        <v>33</v>
      </c>
      <c r="G35" s="12">
        <v>1</v>
      </c>
      <c r="H35" s="12">
        <v>1</v>
      </c>
      <c r="I35" s="12">
        <v>1</v>
      </c>
      <c r="J35" s="12">
        <v>1</v>
      </c>
      <c r="K35" s="12">
        <v>1</v>
      </c>
      <c r="L35" s="12">
        <v>1</v>
      </c>
      <c r="M35" s="12">
        <v>1</v>
      </c>
      <c r="N35" s="12">
        <v>1</v>
      </c>
      <c r="O35" s="12">
        <v>1</v>
      </c>
      <c r="P35" s="12">
        <v>1</v>
      </c>
      <c r="Q35" s="13">
        <f t="shared" si="1"/>
        <v>10</v>
      </c>
      <c r="R35" s="6" t="s">
        <v>42</v>
      </c>
      <c r="S35" s="7"/>
    </row>
    <row r="36" spans="1:19" hidden="1">
      <c r="A36" s="6">
        <v>35</v>
      </c>
      <c r="B36" s="6" t="s">
        <v>65</v>
      </c>
      <c r="C36" s="6" t="s">
        <v>66</v>
      </c>
      <c r="D36" s="6" t="s">
        <v>36</v>
      </c>
      <c r="E36" s="8" t="s">
        <v>30</v>
      </c>
      <c r="F36" s="9" t="s">
        <v>33</v>
      </c>
      <c r="G36" s="12">
        <v>1</v>
      </c>
      <c r="H36" s="12">
        <v>1</v>
      </c>
      <c r="I36" s="12">
        <v>1</v>
      </c>
      <c r="J36" s="12">
        <v>1</v>
      </c>
      <c r="K36" s="12">
        <v>1</v>
      </c>
      <c r="L36" s="12">
        <v>1</v>
      </c>
      <c r="M36" s="12">
        <v>1</v>
      </c>
      <c r="N36" s="12">
        <v>1</v>
      </c>
      <c r="O36" s="12">
        <v>1</v>
      </c>
      <c r="P36" s="12">
        <v>1</v>
      </c>
      <c r="Q36" s="13">
        <f t="shared" si="1"/>
        <v>10</v>
      </c>
      <c r="R36" s="6" t="s">
        <v>42</v>
      </c>
      <c r="S36" s="7"/>
    </row>
    <row r="37" spans="1:19" hidden="1">
      <c r="A37" s="6">
        <v>36</v>
      </c>
      <c r="B37" s="6" t="s">
        <v>65</v>
      </c>
      <c r="C37" s="6" t="s">
        <v>67</v>
      </c>
      <c r="D37" s="6" t="s">
        <v>37</v>
      </c>
      <c r="E37" s="8" t="s">
        <v>30</v>
      </c>
      <c r="F37" s="9" t="s">
        <v>33</v>
      </c>
      <c r="G37" s="12">
        <v>1</v>
      </c>
      <c r="H37" s="12">
        <v>1</v>
      </c>
      <c r="I37" s="12">
        <v>1</v>
      </c>
      <c r="J37" s="12">
        <v>1</v>
      </c>
      <c r="K37" s="12">
        <v>1</v>
      </c>
      <c r="L37" s="12">
        <v>1</v>
      </c>
      <c r="M37" s="12">
        <v>1</v>
      </c>
      <c r="N37" s="12">
        <v>1</v>
      </c>
      <c r="O37" s="12">
        <v>1</v>
      </c>
      <c r="P37" s="12">
        <v>1</v>
      </c>
      <c r="Q37" s="13">
        <f t="shared" si="1"/>
        <v>10</v>
      </c>
      <c r="R37" s="6" t="s">
        <v>42</v>
      </c>
      <c r="S37" s="7"/>
    </row>
    <row r="38" spans="1:19" hidden="1">
      <c r="A38" s="6">
        <v>37</v>
      </c>
      <c r="B38" s="6" t="s">
        <v>63</v>
      </c>
      <c r="C38" s="6" t="s">
        <v>68</v>
      </c>
      <c r="D38" s="6" t="s">
        <v>58</v>
      </c>
      <c r="E38" s="8">
        <v>27</v>
      </c>
      <c r="F38" s="9" t="s">
        <v>33</v>
      </c>
      <c r="G38" s="12">
        <v>1</v>
      </c>
      <c r="H38" s="12">
        <v>1</v>
      </c>
      <c r="I38" s="12">
        <v>0.75</v>
      </c>
      <c r="J38" s="12">
        <v>1</v>
      </c>
      <c r="K38" s="12">
        <v>1</v>
      </c>
      <c r="L38" s="12">
        <v>1</v>
      </c>
      <c r="M38" s="12">
        <v>1</v>
      </c>
      <c r="N38" s="12">
        <v>1</v>
      </c>
      <c r="O38" s="12">
        <v>1</v>
      </c>
      <c r="P38" s="12">
        <v>1</v>
      </c>
      <c r="Q38" s="13">
        <f t="shared" si="1"/>
        <v>9.75</v>
      </c>
      <c r="R38" s="6" t="s">
        <v>42</v>
      </c>
      <c r="S38" s="7"/>
    </row>
    <row r="39" spans="1:19" hidden="1">
      <c r="A39" s="6">
        <v>38</v>
      </c>
      <c r="B39" s="6" t="s">
        <v>63</v>
      </c>
      <c r="C39" s="6" t="s">
        <v>68</v>
      </c>
      <c r="D39" s="6" t="s">
        <v>59</v>
      </c>
      <c r="E39" s="8">
        <v>30</v>
      </c>
      <c r="F39" s="9" t="s">
        <v>33</v>
      </c>
      <c r="G39" s="12">
        <v>1</v>
      </c>
      <c r="H39" s="12">
        <v>1</v>
      </c>
      <c r="I39" s="12">
        <v>0.75</v>
      </c>
      <c r="J39" s="12">
        <v>1</v>
      </c>
      <c r="K39" s="12">
        <v>1</v>
      </c>
      <c r="L39" s="12">
        <v>1</v>
      </c>
      <c r="M39" s="12">
        <v>1</v>
      </c>
      <c r="N39" s="12">
        <v>1</v>
      </c>
      <c r="O39" s="12">
        <v>1</v>
      </c>
      <c r="P39" s="12">
        <v>1</v>
      </c>
      <c r="Q39" s="13">
        <f t="shared" si="1"/>
        <v>9.75</v>
      </c>
      <c r="R39" s="6" t="s">
        <v>42</v>
      </c>
      <c r="S39" s="7"/>
    </row>
    <row r="40" spans="1:19" hidden="1">
      <c r="A40" s="6">
        <v>39</v>
      </c>
      <c r="B40" s="6" t="s">
        <v>63</v>
      </c>
      <c r="C40" s="6" t="s">
        <v>68</v>
      </c>
      <c r="D40" s="6" t="s">
        <v>60</v>
      </c>
      <c r="E40" s="8">
        <v>122</v>
      </c>
      <c r="F40" s="9" t="s">
        <v>33</v>
      </c>
      <c r="G40" s="12">
        <v>1</v>
      </c>
      <c r="H40" s="12">
        <v>1</v>
      </c>
      <c r="I40" s="12">
        <v>0.75</v>
      </c>
      <c r="J40" s="12">
        <v>1</v>
      </c>
      <c r="K40" s="12">
        <v>1</v>
      </c>
      <c r="L40" s="12">
        <v>1</v>
      </c>
      <c r="M40" s="12">
        <v>1</v>
      </c>
      <c r="N40" s="12">
        <v>1</v>
      </c>
      <c r="O40" s="12">
        <v>1</v>
      </c>
      <c r="P40" s="12">
        <v>1</v>
      </c>
      <c r="Q40" s="13">
        <f t="shared" ref="Q40:Q64" si="2">SUM(G40:P40)</f>
        <v>9.75</v>
      </c>
      <c r="R40" s="6" t="s">
        <v>42</v>
      </c>
      <c r="S40" s="7"/>
    </row>
    <row r="41" spans="1:19" hidden="1">
      <c r="A41" s="6">
        <v>40</v>
      </c>
      <c r="B41" s="6" t="s">
        <v>76</v>
      </c>
      <c r="C41" s="6" t="s">
        <v>77</v>
      </c>
      <c r="D41" s="6" t="s">
        <v>77</v>
      </c>
      <c r="E41" s="8">
        <v>229</v>
      </c>
      <c r="F41" s="9" t="s">
        <v>33</v>
      </c>
      <c r="G41" s="12">
        <v>1</v>
      </c>
      <c r="H41" s="12">
        <v>1</v>
      </c>
      <c r="I41" s="12">
        <v>1</v>
      </c>
      <c r="J41" s="12">
        <v>0.75</v>
      </c>
      <c r="K41" s="12">
        <v>1</v>
      </c>
      <c r="L41" s="12">
        <v>1</v>
      </c>
      <c r="M41" s="12">
        <v>0</v>
      </c>
      <c r="N41" s="12">
        <v>1</v>
      </c>
      <c r="O41" s="12">
        <v>1</v>
      </c>
      <c r="P41" s="12">
        <v>1</v>
      </c>
      <c r="Q41" s="13">
        <f t="shared" si="2"/>
        <v>8.75</v>
      </c>
      <c r="R41" s="6" t="s">
        <v>42</v>
      </c>
      <c r="S41" s="7"/>
    </row>
    <row r="42" spans="1:19" hidden="1">
      <c r="A42" s="6">
        <v>41</v>
      </c>
      <c r="B42" s="6" t="s">
        <v>63</v>
      </c>
      <c r="C42" s="6" t="s">
        <v>68</v>
      </c>
      <c r="D42" s="6" t="s">
        <v>58</v>
      </c>
      <c r="E42" s="8">
        <v>27</v>
      </c>
      <c r="F42" s="14" t="s">
        <v>78</v>
      </c>
      <c r="G42" s="7">
        <v>0</v>
      </c>
      <c r="H42" s="7">
        <v>1</v>
      </c>
      <c r="I42" s="7">
        <v>1</v>
      </c>
      <c r="J42" s="7">
        <v>0.95</v>
      </c>
      <c r="K42" s="7">
        <v>1</v>
      </c>
      <c r="L42" s="7">
        <v>1</v>
      </c>
      <c r="M42" s="7">
        <v>0.95</v>
      </c>
      <c r="N42" s="7">
        <v>1</v>
      </c>
      <c r="O42" s="7">
        <v>1</v>
      </c>
      <c r="P42" s="7">
        <v>1</v>
      </c>
      <c r="Q42" s="13">
        <f t="shared" si="2"/>
        <v>8.9</v>
      </c>
      <c r="R42" s="6" t="s">
        <v>41</v>
      </c>
      <c r="S42" s="7"/>
    </row>
    <row r="43" spans="1:19" hidden="1">
      <c r="A43" s="6">
        <v>42</v>
      </c>
      <c r="B43" s="6" t="s">
        <v>63</v>
      </c>
      <c r="C43" s="6" t="s">
        <v>68</v>
      </c>
      <c r="D43" s="6" t="s">
        <v>110</v>
      </c>
      <c r="E43" s="8">
        <v>35</v>
      </c>
      <c r="F43" s="14" t="s">
        <v>78</v>
      </c>
      <c r="G43" s="7">
        <v>1</v>
      </c>
      <c r="H43" s="7">
        <v>1</v>
      </c>
      <c r="I43" s="7">
        <v>0.95</v>
      </c>
      <c r="J43" s="7">
        <v>0.75</v>
      </c>
      <c r="K43" s="7">
        <v>1</v>
      </c>
      <c r="L43" s="7">
        <v>1</v>
      </c>
      <c r="M43" s="7">
        <v>1</v>
      </c>
      <c r="N43" s="7">
        <v>1</v>
      </c>
      <c r="O43" s="7">
        <v>1</v>
      </c>
      <c r="P43" s="7">
        <v>1</v>
      </c>
      <c r="Q43" s="13">
        <f t="shared" si="2"/>
        <v>9.6999999999999993</v>
      </c>
      <c r="R43" s="6" t="s">
        <v>41</v>
      </c>
      <c r="S43" s="7"/>
    </row>
    <row r="44" spans="1:19" hidden="1">
      <c r="A44" s="6">
        <v>43</v>
      </c>
      <c r="B44" s="6" t="s">
        <v>63</v>
      </c>
      <c r="C44" s="6" t="s">
        <v>68</v>
      </c>
      <c r="D44" s="6" t="s">
        <v>58</v>
      </c>
      <c r="E44" s="8">
        <v>27</v>
      </c>
      <c r="F44" s="9" t="s">
        <v>31</v>
      </c>
      <c r="G44" s="7">
        <v>1</v>
      </c>
      <c r="H44" s="7">
        <v>1</v>
      </c>
      <c r="I44" s="7">
        <v>1</v>
      </c>
      <c r="J44" s="7">
        <v>0.75</v>
      </c>
      <c r="K44" s="7">
        <v>1</v>
      </c>
      <c r="L44" s="7">
        <v>1</v>
      </c>
      <c r="M44" s="7">
        <v>1</v>
      </c>
      <c r="N44" s="7">
        <v>1</v>
      </c>
      <c r="O44" s="7">
        <v>1</v>
      </c>
      <c r="P44" s="7">
        <v>1</v>
      </c>
      <c r="Q44" s="13">
        <f t="shared" si="2"/>
        <v>9.75</v>
      </c>
      <c r="R44" s="6" t="s">
        <v>41</v>
      </c>
      <c r="S44" s="7"/>
    </row>
    <row r="45" spans="1:19" hidden="1">
      <c r="A45" s="6">
        <v>44</v>
      </c>
      <c r="B45" s="6" t="s">
        <v>63</v>
      </c>
      <c r="C45" s="6" t="s">
        <v>68</v>
      </c>
      <c r="D45" s="6" t="s">
        <v>110</v>
      </c>
      <c r="E45" s="8">
        <v>35</v>
      </c>
      <c r="F45" s="9" t="s">
        <v>31</v>
      </c>
      <c r="G45" s="7">
        <v>1</v>
      </c>
      <c r="H45" s="7">
        <v>1</v>
      </c>
      <c r="I45" s="7">
        <v>0.95</v>
      </c>
      <c r="J45" s="7">
        <v>0.95</v>
      </c>
      <c r="K45" s="7">
        <v>1</v>
      </c>
      <c r="L45" s="7">
        <v>0.25</v>
      </c>
      <c r="M45" s="7">
        <v>1</v>
      </c>
      <c r="N45" s="7">
        <v>1</v>
      </c>
      <c r="O45" s="7">
        <v>1</v>
      </c>
      <c r="P45" s="7">
        <v>1</v>
      </c>
      <c r="Q45" s="13">
        <f t="shared" si="2"/>
        <v>9.15</v>
      </c>
      <c r="R45" s="6" t="s">
        <v>41</v>
      </c>
      <c r="S45" s="7"/>
    </row>
    <row r="46" spans="1:19" hidden="1">
      <c r="A46" s="6">
        <v>45</v>
      </c>
      <c r="B46" s="6" t="s">
        <v>85</v>
      </c>
      <c r="C46" s="6" t="s">
        <v>82</v>
      </c>
      <c r="D46" s="6" t="s">
        <v>86</v>
      </c>
      <c r="E46" s="8">
        <v>754</v>
      </c>
      <c r="F46" s="14" t="s">
        <v>31</v>
      </c>
      <c r="G46" s="7">
        <v>1</v>
      </c>
      <c r="H46" s="7">
        <v>1</v>
      </c>
      <c r="I46" s="7">
        <v>0.95</v>
      </c>
      <c r="J46" s="7">
        <v>0.75</v>
      </c>
      <c r="K46" s="7">
        <v>1</v>
      </c>
      <c r="L46" s="7">
        <v>1</v>
      </c>
      <c r="M46" s="7">
        <v>1</v>
      </c>
      <c r="N46" s="7">
        <v>1</v>
      </c>
      <c r="O46" s="7">
        <v>1</v>
      </c>
      <c r="P46" s="7">
        <v>1</v>
      </c>
      <c r="Q46" s="13">
        <f t="shared" si="2"/>
        <v>9.6999999999999993</v>
      </c>
      <c r="R46" s="6" t="s">
        <v>42</v>
      </c>
      <c r="S46" s="7"/>
    </row>
    <row r="47" spans="1:19" hidden="1">
      <c r="A47" s="6">
        <v>46</v>
      </c>
      <c r="B47" s="6" t="s">
        <v>84</v>
      </c>
      <c r="C47" s="6" t="s">
        <v>83</v>
      </c>
      <c r="D47" s="6" t="s">
        <v>87</v>
      </c>
      <c r="E47" s="8">
        <v>1100</v>
      </c>
      <c r="F47" s="14" t="s">
        <v>31</v>
      </c>
      <c r="G47" s="7">
        <v>1</v>
      </c>
      <c r="H47" s="7">
        <v>1</v>
      </c>
      <c r="I47" s="7">
        <v>0.95</v>
      </c>
      <c r="J47" s="7">
        <v>0.75</v>
      </c>
      <c r="K47" s="7">
        <v>1</v>
      </c>
      <c r="L47" s="7">
        <v>0</v>
      </c>
      <c r="M47" s="7">
        <v>1</v>
      </c>
      <c r="N47" s="7">
        <v>1</v>
      </c>
      <c r="O47" s="7">
        <v>1</v>
      </c>
      <c r="P47" s="7">
        <v>1</v>
      </c>
      <c r="Q47" s="13">
        <f t="shared" si="2"/>
        <v>8.6999999999999993</v>
      </c>
      <c r="R47" s="6" t="s">
        <v>42</v>
      </c>
      <c r="S47" s="7"/>
    </row>
    <row r="48" spans="1:19" hidden="1">
      <c r="A48" s="6">
        <v>47</v>
      </c>
      <c r="B48" s="6" t="s">
        <v>79</v>
      </c>
      <c r="C48" s="6" t="s">
        <v>80</v>
      </c>
      <c r="D48" s="6" t="s">
        <v>88</v>
      </c>
      <c r="E48" s="15">
        <v>4</v>
      </c>
      <c r="F48" s="14" t="s">
        <v>31</v>
      </c>
      <c r="G48" s="7">
        <v>1</v>
      </c>
      <c r="H48" s="7">
        <v>1</v>
      </c>
      <c r="I48" s="7">
        <v>1</v>
      </c>
      <c r="J48" s="7">
        <v>0.1</v>
      </c>
      <c r="K48" s="7">
        <v>1</v>
      </c>
      <c r="L48" s="7">
        <v>1</v>
      </c>
      <c r="M48" s="7">
        <v>0.5</v>
      </c>
      <c r="N48" s="7">
        <v>0</v>
      </c>
      <c r="O48" s="7">
        <v>1</v>
      </c>
      <c r="P48" s="7">
        <v>1</v>
      </c>
      <c r="Q48" s="13">
        <f t="shared" si="2"/>
        <v>7.6</v>
      </c>
      <c r="R48" s="6" t="s">
        <v>39</v>
      </c>
      <c r="S48" s="7"/>
    </row>
    <row r="49" spans="1:19" hidden="1">
      <c r="A49" s="6">
        <v>48</v>
      </c>
      <c r="B49" s="6" t="s">
        <v>79</v>
      </c>
      <c r="C49" s="6" t="s">
        <v>80</v>
      </c>
      <c r="D49" s="6" t="s">
        <v>88</v>
      </c>
      <c r="E49" s="15">
        <v>4</v>
      </c>
      <c r="F49" s="14" t="s">
        <v>89</v>
      </c>
      <c r="G49" s="7">
        <v>0.1</v>
      </c>
      <c r="H49" s="7">
        <v>0</v>
      </c>
      <c r="I49" s="7">
        <v>0.5</v>
      </c>
      <c r="J49" s="7">
        <v>0</v>
      </c>
      <c r="K49" s="7">
        <v>1</v>
      </c>
      <c r="L49" s="7">
        <v>0</v>
      </c>
      <c r="M49" s="7">
        <v>0</v>
      </c>
      <c r="N49" s="7">
        <v>0</v>
      </c>
      <c r="O49" s="7">
        <v>0</v>
      </c>
      <c r="P49" s="7">
        <v>1</v>
      </c>
      <c r="Q49" s="13">
        <f t="shared" si="2"/>
        <v>2.6</v>
      </c>
      <c r="R49" s="6" t="s">
        <v>39</v>
      </c>
      <c r="S49" s="7"/>
    </row>
    <row r="50" spans="1:19" hidden="1">
      <c r="A50" s="6">
        <v>49</v>
      </c>
      <c r="B50" s="6" t="s">
        <v>79</v>
      </c>
      <c r="C50" s="6" t="s">
        <v>80</v>
      </c>
      <c r="D50" s="6" t="s">
        <v>81</v>
      </c>
      <c r="E50" s="15">
        <v>120</v>
      </c>
      <c r="F50" s="14" t="s">
        <v>89</v>
      </c>
      <c r="G50" s="7">
        <v>1</v>
      </c>
      <c r="H50" s="7">
        <v>1</v>
      </c>
      <c r="I50" s="7">
        <v>1</v>
      </c>
      <c r="J50" s="7">
        <v>0</v>
      </c>
      <c r="K50" s="7">
        <v>1</v>
      </c>
      <c r="L50" s="7">
        <v>1</v>
      </c>
      <c r="M50" s="7">
        <v>1</v>
      </c>
      <c r="N50" s="7">
        <v>1</v>
      </c>
      <c r="O50" s="7">
        <v>1</v>
      </c>
      <c r="P50" s="7">
        <v>1</v>
      </c>
      <c r="Q50" s="13">
        <f t="shared" si="2"/>
        <v>9</v>
      </c>
      <c r="R50" s="6" t="s">
        <v>90</v>
      </c>
      <c r="S50" s="7"/>
    </row>
    <row r="51" spans="1:19" hidden="1">
      <c r="A51" s="6">
        <v>50</v>
      </c>
      <c r="B51" s="6" t="s">
        <v>79</v>
      </c>
      <c r="C51" s="6" t="s">
        <v>80</v>
      </c>
      <c r="D51" s="6" t="s">
        <v>91</v>
      </c>
      <c r="E51" s="15">
        <v>120</v>
      </c>
      <c r="F51" s="14" t="s">
        <v>31</v>
      </c>
      <c r="G51" s="7">
        <v>1</v>
      </c>
      <c r="H51" s="7">
        <v>1</v>
      </c>
      <c r="I51" s="7">
        <v>0</v>
      </c>
      <c r="J51" s="7">
        <v>0</v>
      </c>
      <c r="K51" s="7">
        <v>1</v>
      </c>
      <c r="L51" s="7">
        <v>1</v>
      </c>
      <c r="M51" s="7">
        <v>0.5</v>
      </c>
      <c r="N51" s="7">
        <v>1</v>
      </c>
      <c r="O51" s="7">
        <v>1</v>
      </c>
      <c r="P51" s="7">
        <v>1</v>
      </c>
      <c r="Q51" s="13">
        <f t="shared" si="2"/>
        <v>7.5</v>
      </c>
      <c r="R51" s="6" t="s">
        <v>90</v>
      </c>
      <c r="S51" s="7"/>
    </row>
    <row r="52" spans="1:19" hidden="1">
      <c r="A52" s="6">
        <v>51</v>
      </c>
      <c r="B52" s="6" t="s">
        <v>79</v>
      </c>
      <c r="C52" s="6" t="s">
        <v>80</v>
      </c>
      <c r="D52" s="6" t="s">
        <v>92</v>
      </c>
      <c r="E52" s="15">
        <v>120</v>
      </c>
      <c r="F52" s="14" t="s">
        <v>31</v>
      </c>
      <c r="G52" s="7">
        <v>1</v>
      </c>
      <c r="H52" s="7">
        <v>1</v>
      </c>
      <c r="I52" s="7">
        <v>0</v>
      </c>
      <c r="J52" s="7">
        <v>0.95</v>
      </c>
      <c r="K52" s="7">
        <v>1</v>
      </c>
      <c r="L52" s="7">
        <v>1</v>
      </c>
      <c r="M52" s="7">
        <v>1</v>
      </c>
      <c r="N52" s="7">
        <v>1</v>
      </c>
      <c r="O52" s="7">
        <v>1</v>
      </c>
      <c r="P52" s="7">
        <v>1</v>
      </c>
      <c r="Q52" s="13">
        <f t="shared" si="2"/>
        <v>8.9499999999999993</v>
      </c>
      <c r="R52" s="6" t="s">
        <v>90</v>
      </c>
      <c r="S52" s="7"/>
    </row>
    <row r="53" spans="1:19" hidden="1">
      <c r="A53" s="6">
        <v>52</v>
      </c>
      <c r="B53" s="6" t="s">
        <v>79</v>
      </c>
      <c r="C53" s="6" t="s">
        <v>80</v>
      </c>
      <c r="D53" s="6" t="s">
        <v>93</v>
      </c>
      <c r="E53" s="15">
        <v>30</v>
      </c>
      <c r="F53" s="14" t="s">
        <v>89</v>
      </c>
      <c r="G53" s="7">
        <v>0</v>
      </c>
      <c r="H53" s="7">
        <v>1</v>
      </c>
      <c r="I53" s="7">
        <v>0</v>
      </c>
      <c r="J53" s="7">
        <v>0</v>
      </c>
      <c r="K53" s="7">
        <v>1</v>
      </c>
      <c r="L53" s="7">
        <v>1</v>
      </c>
      <c r="M53" s="7">
        <v>0</v>
      </c>
      <c r="N53" s="7">
        <v>1</v>
      </c>
      <c r="O53" s="7">
        <v>1</v>
      </c>
      <c r="P53" s="7">
        <v>1</v>
      </c>
      <c r="Q53" s="13">
        <f t="shared" si="2"/>
        <v>6</v>
      </c>
      <c r="R53" s="6" t="s">
        <v>90</v>
      </c>
      <c r="S53" s="7"/>
    </row>
    <row r="54" spans="1:19" hidden="1">
      <c r="A54" s="6">
        <v>53</v>
      </c>
      <c r="B54" s="6" t="s">
        <v>79</v>
      </c>
      <c r="C54" s="6" t="s">
        <v>80</v>
      </c>
      <c r="D54" s="6" t="s">
        <v>93</v>
      </c>
      <c r="E54" s="15">
        <v>30</v>
      </c>
      <c r="F54" s="14" t="s">
        <v>31</v>
      </c>
      <c r="G54" s="7">
        <v>0.5</v>
      </c>
      <c r="H54" s="7">
        <v>1</v>
      </c>
      <c r="I54" s="7">
        <v>0.5</v>
      </c>
      <c r="J54" s="7">
        <v>0.1</v>
      </c>
      <c r="K54" s="7">
        <v>1</v>
      </c>
      <c r="L54" s="7">
        <v>1</v>
      </c>
      <c r="M54" s="7">
        <v>1</v>
      </c>
      <c r="N54" s="7">
        <v>1</v>
      </c>
      <c r="O54" s="7">
        <v>1</v>
      </c>
      <c r="P54" s="7">
        <v>1</v>
      </c>
      <c r="Q54" s="13">
        <f t="shared" si="2"/>
        <v>8.1</v>
      </c>
      <c r="R54" s="6" t="s">
        <v>90</v>
      </c>
      <c r="S54" s="7"/>
    </row>
    <row r="55" spans="1:19" hidden="1">
      <c r="A55" s="6">
        <v>54</v>
      </c>
      <c r="B55" s="6" t="s">
        <v>76</v>
      </c>
      <c r="C55" s="6" t="s">
        <v>77</v>
      </c>
      <c r="D55" s="6" t="s">
        <v>94</v>
      </c>
      <c r="E55" s="8" t="s">
        <v>30</v>
      </c>
      <c r="F55" s="9" t="s">
        <v>33</v>
      </c>
      <c r="G55" s="7">
        <v>1</v>
      </c>
      <c r="H55" s="7">
        <v>1</v>
      </c>
      <c r="I55" s="7">
        <v>1</v>
      </c>
      <c r="J55" s="7">
        <v>0.1</v>
      </c>
      <c r="K55" s="7">
        <v>1</v>
      </c>
      <c r="L55" s="7">
        <v>1</v>
      </c>
      <c r="M55" s="7">
        <v>1</v>
      </c>
      <c r="N55" s="7">
        <v>1</v>
      </c>
      <c r="O55" s="7">
        <v>1</v>
      </c>
      <c r="P55" s="7">
        <v>1</v>
      </c>
      <c r="Q55" s="13">
        <f t="shared" si="2"/>
        <v>9.1</v>
      </c>
      <c r="R55" s="6" t="s">
        <v>42</v>
      </c>
      <c r="S55" s="7"/>
    </row>
    <row r="56" spans="1:19" hidden="1">
      <c r="A56" s="6">
        <v>55</v>
      </c>
      <c r="B56" s="7" t="s">
        <v>96</v>
      </c>
      <c r="C56" s="6" t="s">
        <v>95</v>
      </c>
      <c r="D56" s="6" t="s">
        <v>98</v>
      </c>
      <c r="E56" s="15">
        <v>1000</v>
      </c>
      <c r="F56" s="9" t="s">
        <v>33</v>
      </c>
      <c r="G56" s="7">
        <v>1</v>
      </c>
      <c r="H56" s="7">
        <v>1</v>
      </c>
      <c r="I56" s="7">
        <v>0.95</v>
      </c>
      <c r="J56" s="7">
        <v>0.1</v>
      </c>
      <c r="K56" s="7">
        <v>1</v>
      </c>
      <c r="L56" s="7">
        <v>1</v>
      </c>
      <c r="M56" s="7">
        <v>1</v>
      </c>
      <c r="N56" s="7">
        <v>1</v>
      </c>
      <c r="O56" s="7">
        <v>1</v>
      </c>
      <c r="P56" s="7">
        <v>1</v>
      </c>
      <c r="Q56" s="13">
        <f t="shared" si="2"/>
        <v>9.0500000000000007</v>
      </c>
      <c r="R56" s="6" t="s">
        <v>42</v>
      </c>
      <c r="S56" s="7"/>
    </row>
    <row r="57" spans="1:19">
      <c r="A57" s="6">
        <v>61</v>
      </c>
      <c r="B57" s="6" t="s">
        <v>63</v>
      </c>
      <c r="C57" s="6" t="s">
        <v>68</v>
      </c>
      <c r="D57" s="6" t="s">
        <v>99</v>
      </c>
      <c r="E57" s="8">
        <v>9</v>
      </c>
      <c r="F57" s="14" t="s">
        <v>89</v>
      </c>
      <c r="G57" s="7">
        <v>1</v>
      </c>
      <c r="H57" s="7">
        <v>1</v>
      </c>
      <c r="I57" s="7">
        <v>0.8</v>
      </c>
      <c r="J57" s="7">
        <v>0</v>
      </c>
      <c r="K57" s="7">
        <v>1</v>
      </c>
      <c r="L57" s="7">
        <v>1</v>
      </c>
      <c r="M57" s="7">
        <v>1</v>
      </c>
      <c r="N57" s="7">
        <v>1</v>
      </c>
      <c r="O57" s="7">
        <v>1</v>
      </c>
      <c r="P57" s="7">
        <v>1</v>
      </c>
      <c r="Q57" s="13">
        <f t="shared" si="2"/>
        <v>8.8000000000000007</v>
      </c>
      <c r="R57" s="6" t="s">
        <v>39</v>
      </c>
      <c r="S57" s="7" t="s">
        <v>101</v>
      </c>
    </row>
    <row r="58" spans="1:19">
      <c r="A58" s="6">
        <v>19</v>
      </c>
      <c r="B58" s="6" t="s">
        <v>63</v>
      </c>
      <c r="C58" s="6" t="s">
        <v>70</v>
      </c>
      <c r="D58" s="6" t="s">
        <v>57</v>
      </c>
      <c r="E58" s="8">
        <v>30</v>
      </c>
      <c r="F58" s="9" t="s">
        <v>14</v>
      </c>
      <c r="G58" s="12">
        <v>1</v>
      </c>
      <c r="H58" s="12">
        <v>1</v>
      </c>
      <c r="I58" s="12">
        <v>0</v>
      </c>
      <c r="J58" s="12">
        <v>0.75</v>
      </c>
      <c r="K58" s="12">
        <v>1</v>
      </c>
      <c r="L58" s="12">
        <v>1</v>
      </c>
      <c r="M58" s="12">
        <v>1</v>
      </c>
      <c r="N58" s="12">
        <v>1</v>
      </c>
      <c r="O58" s="12">
        <v>1</v>
      </c>
      <c r="P58" s="12">
        <v>1</v>
      </c>
      <c r="Q58" s="13">
        <f t="shared" si="2"/>
        <v>8.75</v>
      </c>
      <c r="R58" s="6" t="s">
        <v>105</v>
      </c>
      <c r="S58" s="7" t="s">
        <v>106</v>
      </c>
    </row>
    <row r="59" spans="1:19">
      <c r="A59" s="6">
        <v>12</v>
      </c>
      <c r="B59" s="6" t="s">
        <v>63</v>
      </c>
      <c r="C59" s="6" t="s">
        <v>70</v>
      </c>
      <c r="D59" s="6" t="s">
        <v>50</v>
      </c>
      <c r="E59" s="8">
        <v>32</v>
      </c>
      <c r="F59" s="9" t="s">
        <v>14</v>
      </c>
      <c r="G59" s="10">
        <v>1</v>
      </c>
      <c r="H59" s="10">
        <v>1</v>
      </c>
      <c r="I59" s="10">
        <v>0.5</v>
      </c>
      <c r="J59" s="10">
        <v>0.9</v>
      </c>
      <c r="K59" s="10">
        <v>1</v>
      </c>
      <c r="L59" s="10">
        <v>1</v>
      </c>
      <c r="M59" s="10">
        <v>0</v>
      </c>
      <c r="N59" s="10">
        <v>1</v>
      </c>
      <c r="O59" s="10">
        <v>1</v>
      </c>
      <c r="P59" s="10">
        <v>1</v>
      </c>
      <c r="Q59" s="11">
        <f t="shared" si="2"/>
        <v>8.4</v>
      </c>
      <c r="R59" s="6" t="s">
        <v>105</v>
      </c>
      <c r="S59" s="7" t="s">
        <v>106</v>
      </c>
    </row>
    <row r="60" spans="1:19">
      <c r="A60" s="6">
        <v>11</v>
      </c>
      <c r="B60" s="6" t="s">
        <v>63</v>
      </c>
      <c r="C60" s="6" t="s">
        <v>70</v>
      </c>
      <c r="D60" s="6" t="s">
        <v>50</v>
      </c>
      <c r="E60" s="8">
        <v>32</v>
      </c>
      <c r="F60" s="9" t="s">
        <v>13</v>
      </c>
      <c r="G60" s="10">
        <v>0</v>
      </c>
      <c r="H60" s="10">
        <v>1</v>
      </c>
      <c r="I60" s="10">
        <v>1</v>
      </c>
      <c r="J60" s="10">
        <v>0</v>
      </c>
      <c r="K60" s="10">
        <v>1</v>
      </c>
      <c r="L60" s="10">
        <v>1</v>
      </c>
      <c r="M60" s="10">
        <v>0.9</v>
      </c>
      <c r="N60" s="10">
        <v>1</v>
      </c>
      <c r="O60" s="10">
        <v>1</v>
      </c>
      <c r="P60" s="10">
        <v>1</v>
      </c>
      <c r="Q60" s="11">
        <f t="shared" si="2"/>
        <v>7.9</v>
      </c>
      <c r="R60" s="6" t="s">
        <v>105</v>
      </c>
      <c r="S60" s="7" t="s">
        <v>106</v>
      </c>
    </row>
    <row r="61" spans="1:19">
      <c r="A61" s="6">
        <v>9</v>
      </c>
      <c r="B61" s="6" t="s">
        <v>63</v>
      </c>
      <c r="C61" s="6" t="s">
        <v>70</v>
      </c>
      <c r="D61" s="6" t="s">
        <v>49</v>
      </c>
      <c r="E61" s="8">
        <v>30</v>
      </c>
      <c r="F61" s="9" t="s">
        <v>13</v>
      </c>
      <c r="G61" s="10">
        <v>1</v>
      </c>
      <c r="H61" s="10">
        <v>1</v>
      </c>
      <c r="I61" s="10">
        <v>0.75</v>
      </c>
      <c r="J61" s="10">
        <v>0</v>
      </c>
      <c r="K61" s="10">
        <v>1</v>
      </c>
      <c r="L61" s="10">
        <v>1</v>
      </c>
      <c r="M61" s="10">
        <v>0</v>
      </c>
      <c r="N61" s="10">
        <v>1</v>
      </c>
      <c r="O61" s="10">
        <v>1</v>
      </c>
      <c r="P61" s="10">
        <v>1</v>
      </c>
      <c r="Q61" s="11">
        <f t="shared" si="2"/>
        <v>7.75</v>
      </c>
      <c r="R61" s="6" t="s">
        <v>105</v>
      </c>
      <c r="S61" s="7" t="s">
        <v>106</v>
      </c>
    </row>
    <row r="62" spans="1:19">
      <c r="A62" s="6">
        <v>60</v>
      </c>
      <c r="B62" s="6" t="s">
        <v>63</v>
      </c>
      <c r="C62" s="6" t="s">
        <v>68</v>
      </c>
      <c r="D62" s="6" t="s">
        <v>97</v>
      </c>
      <c r="E62" s="8">
        <v>9</v>
      </c>
      <c r="F62" s="14" t="s">
        <v>89</v>
      </c>
      <c r="G62" s="7">
        <v>1</v>
      </c>
      <c r="H62" s="7">
        <v>1</v>
      </c>
      <c r="I62" s="7">
        <v>0.8</v>
      </c>
      <c r="J62" s="7">
        <v>0</v>
      </c>
      <c r="K62" s="7">
        <v>1</v>
      </c>
      <c r="L62" s="7">
        <v>0</v>
      </c>
      <c r="M62" s="7">
        <v>0.75</v>
      </c>
      <c r="N62" s="7">
        <v>1</v>
      </c>
      <c r="O62" s="7">
        <v>1</v>
      </c>
      <c r="P62" s="7">
        <v>1</v>
      </c>
      <c r="Q62" s="13">
        <f t="shared" si="2"/>
        <v>7.55</v>
      </c>
      <c r="R62" s="6" t="s">
        <v>39</v>
      </c>
      <c r="S62" s="7" t="s">
        <v>101</v>
      </c>
    </row>
    <row r="63" spans="1:19">
      <c r="A63" s="6">
        <v>7</v>
      </c>
      <c r="B63" s="6" t="s">
        <v>63</v>
      </c>
      <c r="C63" s="6" t="s">
        <v>70</v>
      </c>
      <c r="D63" s="6" t="s">
        <v>48</v>
      </c>
      <c r="E63" s="8">
        <v>14</v>
      </c>
      <c r="F63" s="9" t="s">
        <v>13</v>
      </c>
      <c r="G63" s="10">
        <v>0</v>
      </c>
      <c r="H63" s="10">
        <v>1</v>
      </c>
      <c r="I63" s="10">
        <v>1</v>
      </c>
      <c r="J63" s="10">
        <v>0</v>
      </c>
      <c r="K63" s="10">
        <v>1</v>
      </c>
      <c r="L63" s="10">
        <v>0</v>
      </c>
      <c r="M63" s="10">
        <v>0.9</v>
      </c>
      <c r="N63" s="10">
        <v>1</v>
      </c>
      <c r="O63" s="10">
        <v>1</v>
      </c>
      <c r="P63" s="10">
        <v>1</v>
      </c>
      <c r="Q63" s="11">
        <f t="shared" si="2"/>
        <v>6.9</v>
      </c>
      <c r="R63" s="6" t="s">
        <v>105</v>
      </c>
      <c r="S63" s="7" t="s">
        <v>106</v>
      </c>
    </row>
    <row r="64" spans="1:19">
      <c r="A64" s="6">
        <v>10</v>
      </c>
      <c r="B64" s="6" t="s">
        <v>63</v>
      </c>
      <c r="C64" s="6" t="s">
        <v>70</v>
      </c>
      <c r="D64" s="6" t="s">
        <v>49</v>
      </c>
      <c r="E64" s="8">
        <v>30</v>
      </c>
      <c r="F64" s="9" t="s">
        <v>14</v>
      </c>
      <c r="G64" s="10">
        <v>0</v>
      </c>
      <c r="H64" s="10">
        <v>1</v>
      </c>
      <c r="I64" s="10">
        <v>0</v>
      </c>
      <c r="J64" s="10">
        <v>1</v>
      </c>
      <c r="K64" s="10">
        <v>1</v>
      </c>
      <c r="L64" s="10">
        <v>1</v>
      </c>
      <c r="M64" s="10">
        <v>0.9</v>
      </c>
      <c r="N64" s="10">
        <v>0</v>
      </c>
      <c r="O64" s="10">
        <v>1</v>
      </c>
      <c r="P64" s="10">
        <v>1</v>
      </c>
      <c r="Q64" s="11">
        <f t="shared" si="2"/>
        <v>6.9</v>
      </c>
      <c r="R64" s="6" t="s">
        <v>105</v>
      </c>
      <c r="S64" s="7" t="s">
        <v>106</v>
      </c>
    </row>
    <row r="65" spans="1:19" hidden="1">
      <c r="A65" s="6">
        <v>64</v>
      </c>
      <c r="B65" s="6" t="s">
        <v>79</v>
      </c>
      <c r="C65" s="6" t="s">
        <v>80</v>
      </c>
      <c r="D65" s="6" t="s">
        <v>108</v>
      </c>
      <c r="E65" s="15">
        <v>30</v>
      </c>
      <c r="F65" s="14" t="s">
        <v>31</v>
      </c>
      <c r="G65" s="7">
        <v>0</v>
      </c>
      <c r="H65" s="7">
        <v>1</v>
      </c>
      <c r="I65" s="7">
        <v>0.95</v>
      </c>
      <c r="J65" s="7">
        <v>0.5</v>
      </c>
      <c r="K65" s="7">
        <v>1</v>
      </c>
      <c r="L65" s="7">
        <v>1</v>
      </c>
      <c r="M65" s="7">
        <v>0.5</v>
      </c>
      <c r="N65" s="7">
        <v>1</v>
      </c>
      <c r="O65" s="7">
        <v>1</v>
      </c>
      <c r="P65" s="7">
        <v>1</v>
      </c>
      <c r="Q65" s="13">
        <f t="shared" ref="Q65" si="3">SUM(G65:P65)</f>
        <v>7.95</v>
      </c>
      <c r="R65" s="6" t="s">
        <v>39</v>
      </c>
      <c r="S65" s="7" t="s">
        <v>109</v>
      </c>
    </row>
  </sheetData>
  <autoFilter ref="A1:S65" xr:uid="{6BD731A4-BA3A-A34A-8345-46FD5376EF4C}">
    <filterColumn colId="1">
      <filters>
        <filter val="Qwen"/>
      </filters>
    </filterColumn>
    <filterColumn colId="2">
      <filters>
        <filter val="Qwen3"/>
        <filter val="Qwen3.5"/>
      </filters>
    </filterColumn>
    <filterColumn colId="4">
      <filters>
        <filter val="14"/>
        <filter val="27"/>
        <filter val="30"/>
        <filter val="32"/>
        <filter val="35"/>
        <filter val="9"/>
      </filters>
    </filterColumn>
    <filterColumn colId="17">
      <filters>
        <filter val="Googleコラボ"/>
        <filter val="run local"/>
      </filters>
    </filterColumn>
  </autoFilter>
  <phoneticPr fontId="5"/>
  <conditionalFormatting sqref="G65:H65 K65:L65 N65:P65">
    <cfRule type="containsBlanks" dxfId="1" priority="1">
      <formula>LEN(TRIM(G65))=0</formula>
    </cfRule>
  </conditionalFormatting>
  <conditionalFormatting sqref="J61:L61 N61:P61 G61:H63 J62:P63">
    <cfRule type="containsBlanks" dxfId="0" priority="2">
      <formula>LEN(TRIM(G61))=0</formula>
    </cfRule>
  </conditionalFormatting>
  <hyperlinks>
    <hyperlink ref="R24" r:id="rId1" display="ChatGPT@web" xr:uid="{1E9F9F51-7902-7C41-A4FF-D85B37C352C3}"/>
    <hyperlink ref="R25" r:id="rId2" display="Qwen Chat@Web" xr:uid="{5B97C941-4E1A-EA49-BD03-F8CB815276A6}"/>
    <hyperlink ref="R26:R31" r:id="rId3" display="Qwen Chat@Web" xr:uid="{33242724-3F2D-B24B-9482-531CBA9DDC07}"/>
    <hyperlink ref="R42:R43" r:id="rId4" display="Qwen Chat@Web" xr:uid="{8BC5DF18-AA04-734B-AAC8-E4D505AF8B59}"/>
    <hyperlink ref="R44:R45" r:id="rId5" display="Qwen Chat@Web" xr:uid="{2242F42D-907C-3D45-A606-1196A5E34567}"/>
  </hyperlinks>
  <pageMargins left="0.75" right="0.75" top="1" bottom="1" header="0.511811023622047" footer="0.511811023622047"/>
  <pageSetup paperSize="9" orientation="portrait" horizontalDpi="300" verticalDpi="300" r:id="rId6"/>
  <legacy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total</vt:lpstr>
      <vt:lpstr>Qwen35 para</vt:lpstr>
      <vt:lpstr>only 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iwasa lime iwasa</dc:creator>
  <cp:lastModifiedBy>嘉久 岩佐</cp:lastModifiedBy>
  <dcterms:created xsi:type="dcterms:W3CDTF">2026-02-25T23:02:51Z</dcterms:created>
  <dcterms:modified xsi:type="dcterms:W3CDTF">2026-04-09T22:55:56Z</dcterms:modified>
</cp:coreProperties>
</file>